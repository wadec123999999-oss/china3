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52fedc73f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81c2b89aaeef43b2"/>
    <x:sheet xmlns:r="http://schemas.openxmlformats.org/officeDocument/2006/relationships" name="筛选方法" sheetId="2" r:id="R84d851592eb04810"/>
    <x:sheet xmlns:r="http://schemas.openxmlformats.org/officeDocument/2006/relationships" name="地点库" sheetId="3" r:id="R0636ffd4b8a94343"/>
    <x:sheet xmlns:r="http://schemas.openxmlformats.org/officeDocument/2006/relationships" name="5天路线" sheetId="4" r:id="Rc3a60cc90df54a20"/>
    <x:sheet xmlns:r="http://schemas.openxmlformats.org/officeDocument/2006/relationships" name="游客问题库" sheetId="5" r:id="R9d9766cb8e2a4905"/>
    <x:sheet xmlns:r="http://schemas.openxmlformats.org/officeDocument/2006/relationships" name="供应商候选" sheetId="6" r:id="Rda8de6317fd24b3b"/>
    <x:sheet xmlns:r="http://schemas.openxmlformats.org/officeDocument/2006/relationships" name="产品决策" sheetId="7" r:id="R9ac0f8beed8244b2"/>
    <x:sheet xmlns:r="http://schemas.openxmlformats.org/officeDocument/2006/relationships" name="来源台账" sheetId="8" r:id="R1df61f705557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yyyy-mm-dd"/>
  </x:numFmts>
  <x:fonts count="12">
    <x:font>
      <x:sz val="11"/>
      <x:name val="Carlito"/>
    </x:font>
    <x:font>
      <x:b/>
      <x:sz val="19"/>
      <x:color rgb="FFFFFFFF"/>
      <x:name val="Carlito"/>
    </x:font>
    <x:font>
      <x:sz val="10"/>
      <x:color rgb="FF5F6B76"/>
      <x:name val="Carlito"/>
    </x:font>
    <x:font>
      <x:b/>
      <x:sz val="10"/>
      <x:color rgb="FF0A2036"/>
      <x:name val="Carlito"/>
    </x:font>
    <x:font>
      <x:b/>
      <x:sz val="22"/>
      <x:color rgb="FF1F6FB2"/>
      <x:name val="Carlito"/>
    </x:font>
    <x:font>
      <x:b/>
      <x:sz val="12"/>
      <x:color rgb="FFFFFFFF"/>
      <x:name val="Carlito"/>
    </x:font>
    <x:font>
      <x:b/>
      <x:sz val="11"/>
      <x:color rgb="FF0A2036"/>
      <x:name val="Carlito"/>
    </x:font>
    <x:font>
      <x:sz val="10"/>
      <x:color rgb="FF17212B"/>
      <x:name val="Carlito"/>
    </x:font>
    <x:font>
      <x:b/>
      <x:sz val="12"/>
      <x:color rgb="FF0A2036"/>
      <x:name val="Carlito"/>
    </x:font>
    <x:font>
      <x:sz val="9"/>
      <x:color rgb="FF17212B"/>
      <x:name val="Carlito"/>
    </x:font>
    <x:font>
      <x:b/>
      <x:sz val="9"/>
      <x:color rgb="FF1F6FB2"/>
      <x:name val="Carlito"/>
    </x:font>
    <x:font>
      <x:i/>
      <x:sz val="9"/>
      <x:color rgb="FF5F6B7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A2036"/>
      </x:patternFill>
    </x:fill>
    <x:fill>
      <x:patternFill patternType="solid">
        <x:fgColor rgb="FFF8F5E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C49642"/>
      </x:patternFill>
    </x:fill>
    <x:fill>
      <x:patternFill patternType="solid">
        <x:fgColor rgb="FFF4F6F8"/>
      </x:patternFill>
    </x:fill>
  </x:fills>
  <x:borders count="8">
    <x:border/>
    <x:border>
      <x:bottom style="medium">
        <x:color rgb="FFC49642"/>
      </x:bottom>
    </x:border>
    <x:border>
      <x:bottom style="thin">
        <x:color rgb="FFD8E1E8"/>
      </x:bottom>
    </x:border>
    <x:border>
      <x:right style="thin">
        <x:color rgb="FFD8E1E8"/>
      </x:right>
      <x:bottom style="medium">
        <x:color rgb="FF1F6FB2"/>
      </x:bottom>
    </x:border>
    <x:border>
      <x:left style="thin">
        <x:color rgb="FFD8E1E8"/>
      </x:left>
      <x:right style="thin">
        <x:color rgb="FFD8E1E8"/>
      </x:right>
      <x:bottom style="medium">
        <x:color rgb="FF1F6FB2"/>
      </x:bottom>
    </x:border>
    <x:border>
      <x:left style="thin">
        <x:color rgb="FFD8E1E8"/>
      </x:left>
      <x:bottom style="medium">
        <x:color rgb="FF1F6FB2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200" fontId="9" fillId="0" borderId="6" xfId="0" applyNumberFormat="1" applyFont="1" applyFill="1" applyBorder="1" applyAlignment="1">
      <x:alignment vertical="top" wrapText="1"/>
    </x:xf>
    <x:xf numFmtId="200" fontId="9" fillId="0" borderId="7" xfId="0" applyNumberFormat="1" applyFont="1" applyFill="1" applyBorder="1" applyAlignment="1">
      <x:alignment vertical="top" wrapText="1"/>
    </x:xf>
    <x:xf numFmtId="201" fontId="9" fillId="0" borderId="2" xfId="0" applyNumberFormat="1" applyFont="1" applyFill="1" applyBorder="1" applyAlignment="1">
      <x:alignment vertical="top" wrapText="1"/>
    </x:xf>
    <x:xf numFmtId="201" fontId="9" fillId="0" borderId="6" xfId="0" applyNumberFormat="1" applyFont="1" applyFill="1" applyBorder="1" applyAlignment="1">
      <x:alignment vertical="top" wrapText="1"/>
    </x:xf>
    <x:xf numFmtId="201" fontId="9" fillId="0" borderId="7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horizontal="center" vertical="top" wrapText="1"/>
    </x:xf>
    <x:xf numFmtId="0" fontId="9" fillId="0" borderId="6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200" fontId="9" fillId="0" borderId="2" xfId="0" applyNumberFormat="1" applyFont="1" applyFill="1" applyBorder="1" applyAlignment="1">
      <x:alignment horizontal="center" vertical="top" wrapText="1"/>
    </x:xf>
    <x:xf numFmtId="200" fontId="9" fillId="0" borderId="6" xfId="0" applyNumberFormat="1" applyFont="1" applyFill="1" applyBorder="1" applyAlignment="1">
      <x:alignment horizontal="center" vertical="top" wrapText="1"/>
    </x:xf>
    <x:xf numFmtId="200" fontId="9" fillId="0" borderId="7" xfId="0" applyNumberFormat="1" applyFont="1" applyFill="1" applyBorder="1" applyAlignment="1">
      <x:alignment horizontal="center" vertical="top" wrapText="1"/>
    </x:xf>
    <x:xf numFmtId="202" fontId="9" fillId="0" borderId="2" xfId="0" applyNumberFormat="1" applyFont="1" applyFill="1" applyBorder="1" applyAlignment="1">
      <x:alignment vertical="top" wrapText="1"/>
    </x:xf>
    <x:xf numFmtId="202" fontId="9" fillId="0" borderId="6" xfId="0" applyNumberFormat="1" applyFont="1" applyFill="1" applyBorder="1" applyAlignment="1">
      <x:alignment vertical="top" wrapText="1"/>
    </x:xf>
    <x:xf numFmtId="202" fontId="9" fillId="0" borderId="7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 applyAlignment="1">
      <x:alignment vertical="top"/>
    </x:xf>
    <x:xf numFmtId="0" fontId="8" fillId="6" borderId="0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11" fillId="3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5">
    <x:dxf>
      <x:font>
        <x:b/>
        <x:color rgb="FF237A57"/>
      </x:font>
      <x:fill>
        <x:patternFill patternType="solid">
          <x:bgColor rgb="FFEAF5EF"/>
        </x:patternFill>
      </x:fill>
    </x:dxf>
    <x:dxf>
      <x:font>
        <x:b/>
        <x:color rgb="FF1F6FB2"/>
      </x:font>
      <x:fill>
        <x:patternFill patternType="solid">
          <x:bgColor rgb="FFEAF2F8"/>
        </x:patternFill>
      </x:fill>
    </x:dxf>
    <x:dxf>
      <x:font>
        <x:b/>
        <x:color rgb="FFB7791F"/>
      </x:font>
      <x:fill>
        <x:patternFill patternType="solid">
          <x:bgColor rgb="FFFFF5DE"/>
        </x:patternFill>
      </x:fill>
    </x:dxf>
    <x:dxf>
      <x:font>
        <x:b/>
        <x:color rgb="FF5F6B76"/>
      </x:font>
      <x:fill>
        <x:patternFill patternType="solid">
          <x:bgColor rgb="FFF4F6F8"/>
        </x:patternFill>
      </x:fill>
    </x:dxf>
    <x:dxf>
      <x:font>
        <x:b/>
        <x:color rgb="FFB53A3A"/>
      </x:font>
      <x:fill>
        <x:patternFill patternType="solid">
          <x:bgColor rgb="FFFCEEEE"/>
        </x:patternFill>
      </x:fill>
    </x:dxf>
    <x:dxf>
      <x:font>
        <x:b/>
        <x:color rgb="FF237A57"/>
      </x:font>
      <x:fill>
        <x:patternFill patternType="solid">
          <x:bgColor rgb="FFEAF5EF"/>
        </x:patternFill>
      </x:fill>
    </x:dxf>
    <x:dxf>
      <x:font>
        <x:b/>
        <x:color rgb="FFB53A3A"/>
      </x:font>
      <x:fill>
        <x:patternFill patternType="solid">
          <x:bgColor rgb="FFFCEEEE"/>
        </x:patternFill>
      </x:fill>
    </x:dxf>
    <x:dxf>
      <x:font>
        <x:b/>
        <x:color rgb="FF237A57"/>
      </x:font>
      <x:fill>
        <x:patternFill patternType="solid">
          <x:bgColor rgb="FFEAF5EF"/>
        </x:patternFill>
      </x:fill>
    </x:dxf>
    <x:dxf>
      <x:font>
        <x:color rgb="FF5F6B76"/>
      </x:font>
      <x:fill>
        <x:patternFill patternType="solid">
          <x:bgColor rgb="FFF4F6F8"/>
        </x:patternFill>
      </x:fill>
    </x:dxf>
    <x:dxf>
      <x:font>
        <x:b/>
        <x:color rgb="FFB53A3A"/>
      </x:font>
      <x:fill>
        <x:patternFill patternType="solid">
          <x:bgColor rgb="FFFCEEEE"/>
        </x:patternFill>
      </x:fill>
    </x:dxf>
    <x:dxf>
      <x:font>
        <x:b/>
        <x:color rgb="FFB53A3A"/>
      </x:font>
      <x:fill>
        <x:patternFill patternType="solid">
          <x:bgColor rgb="FFFCEEEE"/>
        </x:patternFill>
      </x:fill>
    </x:dxf>
    <x:dxf>
      <x:font>
        <x:b/>
        <x:color rgb="FF237A57"/>
      </x:font>
      <x:fill>
        <x:patternFill patternType="solid">
          <x:bgColor rgb="FFEAF5EF"/>
        </x:patternFill>
      </x:fill>
    </x:dxf>
    <x:dxf>
      <x:font>
        <x:b/>
        <x:color rgb="FFB7791F"/>
      </x:font>
      <x:fill>
        <x:patternFill patternType="solid">
          <x:bgColor rgb="FFFFF5DE"/>
        </x:patternFill>
      </x:fill>
    </x:dxf>
    <x:dxf>
      <x:font>
        <x:b/>
        <x:color rgb="FF237A57"/>
      </x:font>
      <x:fill>
        <x:patternFill patternType="solid">
          <x:bgColor rgb="FFEAF5EF"/>
        </x:patternFill>
      </x:fill>
    </x:dxf>
    <x:dxf>
      <x:font>
        <x:b/>
        <x:color rgb="FFB53A3A"/>
      </x:font>
      <x:fill>
        <x:patternFill patternType="solid">
          <x:bgColor rgb="FFFC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71ea7f1624662" /><Relationship Type="http://schemas.openxmlformats.org/officeDocument/2006/relationships/theme" Target="/xl/theme/theme1.xml" Id="Racfb07c8871b4c74" /><Relationship Type="http://schemas.openxmlformats.org/officeDocument/2006/relationships/sharedStrings" Target="/xl/sharedStrings.xml" Id="Re94eeb2c49cf4a69" /><Relationship Type="http://schemas.openxmlformats.org/officeDocument/2006/relationships/worksheet" Target="/xl/worksheets/sheet1.xml" Id="R81c2b89aaeef43b2" /><Relationship Type="http://schemas.openxmlformats.org/officeDocument/2006/relationships/worksheet" Target="/xl/worksheets/sheet2.xml" Id="R84d851592eb04810" /><Relationship Type="http://schemas.openxmlformats.org/officeDocument/2006/relationships/worksheet" Target="/xl/worksheets/sheet3.xml" Id="R0636ffd4b8a94343" /><Relationship Type="http://schemas.openxmlformats.org/officeDocument/2006/relationships/worksheet" Target="/xl/worksheets/sheet4.xml" Id="Rc3a60cc90df54a20" /><Relationship Type="http://schemas.openxmlformats.org/officeDocument/2006/relationships/worksheet" Target="/xl/worksheets/sheet5.xml" Id="R9d9766cb8e2a4905" /><Relationship Type="http://schemas.openxmlformats.org/officeDocument/2006/relationships/worksheet" Target="/xl/worksheets/sheet6.xml" Id="Rda8de6317fd24b3b" /><Relationship Type="http://schemas.openxmlformats.org/officeDocument/2006/relationships/worksheet" Target="/xl/worksheets/sheet7.xml" Id="R9ac0f8beed8244b2" /><Relationship Type="http://schemas.openxmlformats.org/officeDocument/2006/relationships/worksheet" Target="/xl/worksheets/sheet8.xml" Id="R1df61f705557478d" /><Relationship Type="http://schemas.microsoft.com/office/2017/10/relationships/person" Target="/xl/persons/person.xml" Id="R74489e6d07df4b8f" /></Relationships>
</file>

<file path=xl/persons/person.xml><?xml version="1.0" encoding="utf-8"?>
<xltc:personList xmlns:xltc="http://schemas.microsoft.com/office/spreadsheetml/2018/threadedcomments">
  <xltc:person displayName="User" id="{28C3AF09-DFC7-48A7-A2D7-ED8E9E2C1574}"/>
</xltc:personList>
</file>

<file path=xl/tables/table1.xml><?xml version="1.0" encoding="utf-8"?>
<x:table xmlns:x="http://schemas.openxmlformats.org/spreadsheetml/2006/main" id="1" name="PlacesTable" displayName="PlacesTable" ref="A5:AF39" headerRowCount="1" totalsRowCount="0" totalsRowShown="0">
  <x:tableColumns count="32">
    <x:tableColumn id="1" name="ID"/>
    <x:tableColumn id="2" name="地点/体验"/>
    <x:tableColumn id="3" name="区域"/>
    <x:tableColumn id="4" name="类型"/>
    <x:tableColumn id="5" name="核心主题"/>
    <x:tableColumn id="6" name="推荐等级"/>
    <x:tableColumn id="7" name="适合客群"/>
    <x:tableColumn id="8" name="推荐/删除理由"/>
    <x:tableColumn id="9" name="独特性"/>
    <x:tableColumn id="10" name="叙事密度"/>
    <x:tableColumn id="11" name="路线适配"/>
    <x:tableColumn id="12" name="外国人可用"/>
    <x:tableColumn id="13" name="摩擦成本"/>
    <x:tableColumn id="14" name="产品分"/>
    <x:tableColumn id="15" name="来源权威"/>
    <x:tableColumn id="16" name="交叉一致"/>
    <x:tableColumn id="17" name="时效"/>
    <x:tableColumn id="18" name="现场核验"/>
    <x:tableColumn id="19" name="证据分"/>
    <x:tableColumn id="20" name="等级"/>
    <x:tableColumn id="21" name="停留"/>
    <x:tableColumn id="22" name="体力/台阶"/>
    <x:tableColumn id="23" name="最佳时段"/>
    <x:tableColumn id="24" name="预约/购票"/>
    <x:tableColumn id="25" name="支付/证件"/>
    <x:tableColumn id="26" name="英语支持"/>
    <x:tableColumn id="27" name="雨天/替代"/>
    <x:tableColumn id="28" name="主要风险/噪音"/>
    <x:tableColumn id="29" name="来源URL 1"/>
    <x:tableColumn id="30" name="来源URL 2"/>
    <x:tableColumn id="31" name="最后检查"/>
    <x:tableColumn id="32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Table" displayName="RouteTable" ref="A5:O38" headerRowCount="1" totalsRowCount="0" totalsRowShown="0">
  <x:tableColumns count="15">
    <x:tableColumn id="1" name="段ID"/>
    <x:tableColumn id="2" name="天"/>
    <x:tableColumn id="3" name="主题"/>
    <x:tableColumn id="4" name="建议时间"/>
    <x:tableColumn id="5" name="节点"/>
    <x:tableColumn id="6" name="建议时长"/>
    <x:tableColumn id="7" name="交通/方向"/>
    <x:tableColumn id="8" name="为什么放这里"/>
    <x:tableColumn id="9" name="必须讲清的内容"/>
    <x:tableColumn id="10" name="体力"/>
    <x:tableColumn id="11" name="外国人摩擦"/>
    <x:tableColumn id="12" name="雨天/低体力替代"/>
    <x:tableColumn id="13" name="推荐状态"/>
    <x:tableColumn id="14" name="来源"/>
    <x:tableColumn id="15" name="待核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nTable" displayName="PainTable" ref="A5:L21" headerRowCount="1" totalsRowCount="0" totalsRowShown="0">
  <x:tableColumns count="12">
    <x:tableColumn id="1" name="问题ID"/>
    <x:tableColumn id="2" name="旅程阶段"/>
    <x:tableColumn id="3" name="真实问题"/>
    <x:tableColumn id="4" name="为什么通用AI容易答错"/>
    <x:tableColumn id="5" name="严重度"/>
    <x:tableColumn id="6" name="出现频率"/>
    <x:tableColumn id="7" name="产品解决方案"/>
    <x:tableColumn id="8" name="需收集字段"/>
    <x:tableColumn id="9" name="证据类型"/>
    <x:tableColumn id="10" name="来源1"/>
    <x:tableColumn id="11" name="来源2"/>
    <x:tableColumn id="12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Table" displayName="SupplierTable" ref="A5:M17" headerRowCount="1" totalsRowCount="0" totalsRowShown="0">
  <x:tableColumns count="13">
    <x:tableColumn id="1" name="候选ID"/>
    <x:tableColumn id="2" name="名称"/>
    <x:tableColumn id="3" name="类型"/>
    <x:tableColumn id="4" name="可补足的产品模块"/>
    <x:tableColumn id="5" name="公开语言"/>
    <x:tableColumn id="6" name="公开形式"/>
    <x:tableColumn id="7" name="广告风险"/>
    <x:tableColumn id="8" name="当前状态"/>
    <x:tableColumn id="9" name="必须核验"/>
    <x:tableColumn id="10" name="淘汰触发"/>
    <x:tableColumn id="11" name="公开来源"/>
    <x:tableColumn id="12" name="联系结果"/>
    <x:tableColumn id="13" name="下一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Table" displayName="DecisionTable" ref="A5:J15" headerRowCount="1" totalsRowCount="0" totalsRowShown="0">
  <x:tableColumns count="10">
    <x:tableColumn id="1" name="决策ID"/>
    <x:tableColumn id="2" name="问题"/>
    <x:tableColumn id="3" name="我的建议"/>
    <x:tableColumn id="4" name="理由"/>
    <x:tableColumn id="5" name="不采用的代价"/>
    <x:tableColumn id="6" name="你的决定"/>
    <x:tableColumn id="7" name="状态"/>
    <x:tableColumn id="8" name="决定日期"/>
    <x:tableColumn id="9" name="影响范围"/>
    <x:tableColumn id="10" name="下一次复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Table" displayName="SourceTable" ref="A5:I27" headerRowCount="1" totalsRowCount="0" totalsRowShown="0">
  <x:tableColumns count="9">
    <x:tableColumn id="1" name="来源ID"/>
    <x:tableColumn id="2" name="来源名称"/>
    <x:tableColumn id="3" name="来源类型"/>
    <x:tableColumn id="4" name="层级"/>
    <x:tableColumn id="5" name="主要用途"/>
    <x:tableColumn id="6" name="广告风险"/>
    <x:tableColumn id="7" name="发布日期/状态"/>
    <x:tableColumn id="8" name="核心信息"/>
    <x:tableColumn id="9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dea1463736745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5c4f8556ea41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378ed9af59846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b24c978f41a46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3c20eb34444e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cfa238c0a5b4f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6" customHeight="1">
      <x:c r="A1" s="75" t="str">
        <x:v>重庆入境深度旅行数据库｜首轮研究版 V0.1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 ht="28" customHeight="1">
      <x:c r="A2" s="76" t="str">
        <x:v>目标不是生成景点清单，而是建立可解释、可取舍、可更新的产品判断系统。最后检查：2026-07-28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 ht="26" customHeight="1">
      <x:c r="A4" s="78" t="str">
        <x:v>地点条目</x:v>
      </x:c>
      <x:c r="B4" s="78"/>
      <x:c r="C4" s="78" t="str">
        <x:v>必去/深度推荐</x:v>
      </x:c>
      <x:c r="D4" s="78"/>
      <x:c r="E4" s="78" t="str">
        <x:v>证据 A/B 级</x:v>
      </x:c>
      <x:c r="F4" s="78"/>
      <x:c r="G4" s="78" t="str">
        <x:v>待实地核验</x:v>
      </x:c>
      <x:c r="H4" s="78"/>
      <x:c r="I4" s="78" t="str">
        <x:v>5天路线段</x:v>
      </x:c>
      <x:c r="J4" s="78"/>
    </x:row>
    <x:row r="5" ht="42" customHeight="1">
      <x:c r="A5" s="79" t="n">
        <x:f>COUNTA('地点库'!$A$6:$A$205)</x:f>
        <x:v>34</x:v>
      </x:c>
      <x:c r="B5" s="79"/>
      <x:c r="C5" s="79" t="n">
        <x:f>COUNTIF('地点库'!$F$6:$F$205,"必去核心")+COUNTIF('地点库'!$F$6:$F$205,"深度推荐")</x:f>
        <x:v>22</x:v>
      </x:c>
      <x:c r="D5" s="79"/>
      <x:c r="E5" s="79" t="n">
        <x:f>COUNTIF('地点库'!$T$6:$T$205,"A")+COUNTIF('地点库'!$T$6:$T$205,"B")</x:f>
        <x:v>15</x:v>
      </x:c>
      <x:c r="F5" s="79"/>
      <x:c r="G5" s="79" t="n">
        <x:f>COUNTIF('地点库'!$R$6:$R$205,0)</x:f>
        <x:v>34</x:v>
      </x:c>
      <x:c r="H5" s="79"/>
      <x:c r="I5" s="79" t="n">
        <x:f>COUNTA('5天路线'!$A$6:$A$205)</x:f>
        <x:v>33</x:v>
      </x:c>
      <x:c r="J5" s="79"/>
    </x:row>
    <x:row r="6">
      <x:c r="A6" s="77"/>
      <x:c r="B6" s="77"/>
      <x:c r="C6" s="77"/>
      <x:c r="D6" s="77"/>
      <x:c r="E6" s="77"/>
      <x:c r="F6" s="77"/>
      <x:c r="G6" s="77"/>
      <x:c r="H6" s="77"/>
      <x:c r="I6" s="77"/>
      <x:c r="J6" s="77"/>
    </x:row>
    <x:row r="7">
      <x:c r="A7" s="80" t="str">
        <x:v>首轮产品判断</x:v>
      </x:c>
      <x:c r="B7" s="80"/>
      <x:c r="C7" s="80"/>
      <x:c r="D7" s="80"/>
      <x:c r="E7" s="80"/>
      <x:c r="F7" s="80"/>
      <x:c r="G7" s="80"/>
      <x:c r="H7" s="80"/>
      <x:c r="I7" s="80"/>
      <x:c r="J7" s="80"/>
    </x:row>
    <x:row r="8" ht="42" customHeight="1">
      <x:c r="A8" s="20" t="str">
        <x:v>1</x:v>
      </x:c>
      <x:c r="B8" s="20" t="str">
        <x:v>主产品</x:v>
      </x:c>
      <x:c r="C8" s="25" t="str">
        <x:v>Beyond Cyberpunk Chongqing｜4天城区 + 1天文化/自然延伸</x:v>
      </x:c>
      <x:c r="D8" s="25" t="str"/>
      <x:c r="E8" s="25" t="str"/>
      <x:c r="F8" s="25" t="str"/>
      <x:c r="G8" s="25" t="str"/>
      <x:c r="H8" s="25" t="str"/>
      <x:c r="I8" s="25" t="str"/>
      <x:c r="J8" s="25" t="str"/>
    </x:row>
    <x:row r="9" ht="42" customHeight="1">
      <x:c r="A9" s="20" t="str">
        <x:v>2</x:v>
      </x:c>
      <x:c r="B9" s="20" t="str">
        <x:v>差异化</x:v>
      </x:c>
      <x:c r="C9" s="25" t="str">
        <x:v>用“城市如何运转、山地如何塑造生活”串联夜景、交通、历史、社区与食物，不以打卡数量为目标。</x:v>
      </x:c>
      <x:c r="D9" s="25" t="str"/>
      <x:c r="E9" s="25" t="str"/>
      <x:c r="F9" s="25" t="str"/>
      <x:c r="G9" s="25" t="str"/>
      <x:c r="H9" s="25" t="str"/>
      <x:c r="I9" s="25" t="str"/>
      <x:c r="J9" s="25" t="str"/>
    </x:row>
    <x:row r="10" ht="42" customHeight="1">
      <x:c r="A10" s="20" t="str">
        <x:v>3</x:v>
      </x:c>
      <x:c r="B10" s="20" t="str">
        <x:v>建议主线</x:v>
      </x:c>
      <x:c r="C10" s="25" t="str">
        <x:v>文化型付费路书优先大足石刻；自然型版本将武隆作为可替换的第5天。</x:v>
      </x:c>
      <x:c r="D10" s="25" t="str"/>
      <x:c r="E10" s="25" t="str"/>
      <x:c r="F10" s="25" t="str"/>
      <x:c r="G10" s="25" t="str"/>
      <x:c r="H10" s="25" t="str"/>
      <x:c r="I10" s="25" t="str"/>
      <x:c r="J10" s="25" t="str"/>
    </x:row>
    <x:row r="11" ht="42" customHeight="1">
      <x:c r="A11" s="20" t="str">
        <x:v>4</x:v>
      </x:c>
      <x:c r="B11" s="20" t="str">
        <x:v>明确降级</x:v>
      </x:c>
      <x:c r="C11" s="25" t="str">
        <x:v>洪崖洞内部、十八梯、TESTBED2、磁器口、长江索道和两江游船不做“必去”，按时段或客群条件推荐。</x:v>
      </x:c>
      <x:c r="D11" s="25" t="str"/>
      <x:c r="E11" s="25" t="str"/>
      <x:c r="F11" s="25" t="str"/>
      <x:c r="G11" s="25" t="str"/>
      <x:c r="H11" s="25" t="str"/>
      <x:c r="I11" s="25" t="str"/>
      <x:c r="J11" s="25" t="str"/>
    </x:row>
    <x:row r="12" ht="42" customHeight="1">
      <x:c r="A12" s="20" t="str">
        <x:v>5</x:v>
      </x:c>
      <x:c r="B12" s="20" t="str">
        <x:v>核心壁垒</x:v>
      </x:c>
      <x:c r="C12" s="26" t="str">
        <x:v>推荐理由、删除理由、冲突记录、外国人摩擦、路线实测与供应商履约数据，而不是地点数量。</x:v>
      </x:c>
      <x:c r="D12" s="26" t="str"/>
      <x:c r="E12" s="26" t="str"/>
      <x:c r="F12" s="26" t="str"/>
      <x:c r="G12" s="26" t="str"/>
      <x:c r="H12" s="26" t="str"/>
      <x:c r="I12" s="26" t="str"/>
      <x:c r="J12" s="26" t="str"/>
    </x:row>
    <x:row r="13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</x:row>
    <x:row r="14">
      <x:c r="A14" s="81" t="str">
        <x:v>你只需要判断的五个问题</x:v>
      </x:c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 ht="45" customHeight="1">
      <x:c r="A15" s="37" t="str">
        <x:v>Q1</x:v>
      </x:c>
      <x:c r="B15" s="35" t="str">
        <x:v>5天主版本第5天用大足，还是用更有大众传播力的武隆？</x:v>
      </x:c>
      <x:c r="C15" s="33" t="str">
        <x:v>建议：大足为深度文化版主线，武隆为自然版替换。</x:v>
      </x:c>
      <x:c r="D15" s="33" t="str"/>
      <x:c r="E15" s="33" t="str"/>
      <x:c r="F15" s="33" t="str"/>
      <x:c r="G15" s="33" t="str"/>
      <x:c r="H15" s="33" t="str"/>
      <x:c r="I15" s="33" t="str"/>
      <x:c r="J15" s="33" t="str"/>
    </x:row>
    <x:row r="16" ht="45" customHeight="1">
      <x:c r="A16" s="37" t="str">
        <x:v>Q2</x:v>
      </x:c>
      <x:c r="B16" s="35" t="str">
        <x:v>重庆的核心目标客群先做背包客/自由行，还是精品小团？</x:v>
      </x:c>
      <x:c r="C16" s="33" t="str">
        <x:v>建议：先用自由行路书验证，再把高摩擦模块升级为小团体验。</x:v>
      </x:c>
      <x:c r="D16" s="33" t="str"/>
      <x:c r="E16" s="33" t="str"/>
      <x:c r="F16" s="33" t="str"/>
      <x:c r="G16" s="33" t="str"/>
      <x:c r="H16" s="33" t="str"/>
      <x:c r="I16" s="33" t="str"/>
      <x:c r="J16" s="33" t="str"/>
    </x:row>
    <x:row r="17" ht="45" customHeight="1">
      <x:c r="A17" s="37" t="str">
        <x:v>Q3</x:v>
      </x:c>
      <x:c r="B17" s="35" t="str">
        <x:v>是否接受“少而深”：每天3—5个主节点，而不是8—12个打卡点？</x:v>
      </x:c>
      <x:c r="C17" s="33" t="str">
        <x:v>建议：接受，并把体力与坡度分级做成付费价值。</x:v>
      </x:c>
      <x:c r="D17" s="33" t="str"/>
      <x:c r="E17" s="33" t="str"/>
      <x:c r="F17" s="33" t="str"/>
      <x:c r="G17" s="33" t="str"/>
      <x:c r="H17" s="33" t="str"/>
      <x:c r="I17" s="33" t="str"/>
      <x:c r="J17" s="33" t="str"/>
    </x:row>
    <x:row r="18" ht="45" customHeight="1">
      <x:c r="A18" s="37" t="str">
        <x:v>Q4</x:v>
      </x:c>
      <x:c r="B18" s="35" t="str">
        <x:v>是否把火锅、川剧、茶馆做成可预约体验，而不是写进普通攻略？</x:v>
      </x:c>
      <x:c r="C18" s="33" t="str">
        <x:v>建议：是，但必须先验证英语、价格、影像权与取消规则。</x:v>
      </x:c>
      <x:c r="D18" s="33" t="str"/>
      <x:c r="E18" s="33" t="str"/>
      <x:c r="F18" s="33" t="str"/>
      <x:c r="G18" s="33" t="str"/>
      <x:c r="H18" s="33" t="str"/>
      <x:c r="I18" s="33" t="str"/>
      <x:c r="J18" s="33" t="str"/>
    </x:row>
    <x:row r="19" ht="45" customHeight="1">
      <x:c r="A19" s="38" t="str">
        <x:v>Q5</x:v>
      </x:c>
      <x:c r="B19" s="36" t="str">
        <x:v>是否同时制作低台阶/亲子版本？</x:v>
      </x:c>
      <x:c r="C19" s="34" t="str">
        <x:v>建议：先保留路线骨架，第二轮增加低体力替代，不与主线混写。</x:v>
      </x:c>
      <x:c r="D19" s="34" t="str"/>
      <x:c r="E19" s="34" t="str"/>
      <x:c r="F19" s="34" t="str"/>
      <x:c r="G19" s="34" t="str"/>
      <x:c r="H19" s="34" t="str"/>
      <x:c r="I19" s="34" t="str"/>
      <x:c r="J19" s="34" t="str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  <x:mergeCell ref="A7:J7"/>
    <x:mergeCell ref="C8:J8"/>
    <x:mergeCell ref="C9:J9"/>
    <x:mergeCell ref="C10:J10"/>
    <x:mergeCell ref="C11:J11"/>
    <x:mergeCell ref="C12:J12"/>
    <x:mergeCell ref="A14:J14"/>
    <x:mergeCell ref="C15:J15"/>
    <x:mergeCell ref="C16:J16"/>
    <x:mergeCell ref="C17:J17"/>
    <x:mergeCell ref="C18:J18"/>
    <x:mergeCell ref="C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5" hidden="0" customWidth="1"/>
    <x:col min="4" max="4" width="24" hidden="0" customWidth="1"/>
    <x:col min="5" max="5" width="28" hidden="0" customWidth="1"/>
    <x:col min="6" max="6" width="12" hidden="0" customWidth="1"/>
    <x:col min="7" max="7" width="15" hidden="0" customWidth="1"/>
    <x:col min="8" max="8" width="24" hidden="0" customWidth="1"/>
  </x:cols>
  <x:sheetData>
    <x:row r="1" ht="36" customHeight="1">
      <x:c r="A1" s="75" t="str">
        <x:v>去广告、去噪音的研究与编辑标准</x:v>
      </x:c>
      <x:c r="B1" s="75"/>
      <x:c r="C1" s="75"/>
      <x:c r="D1" s="75"/>
      <x:c r="E1" s="75"/>
      <x:c r="F1" s="75"/>
      <x:c r="G1" s="75"/>
      <x:c r="H1" s="75"/>
    </x:row>
    <x:row r="2" ht="28" customHeight="1">
      <x:c r="A2" s="76" t="str">
        <x:v>事实层、需求层、产品判断层分开；营销页面只能提供线索，不能直接证明产品价值。</x:v>
      </x:c>
      <x:c r="B2" s="76"/>
      <x:c r="C2" s="76"/>
      <x:c r="D2" s="76"/>
      <x:c r="E2" s="76"/>
      <x:c r="F2" s="76"/>
      <x:c r="G2" s="76"/>
      <x:c r="H2" s="76"/>
    </x:row>
    <x:row r="3">
      <x:c r="A3" s="77"/>
      <x:c r="B3" s="77"/>
      <x:c r="C3" s="77"/>
      <x:c r="D3" s="77"/>
      <x:c r="E3" s="77"/>
      <x:c r="F3" s="77"/>
      <x:c r="G3" s="77"/>
      <x:c r="H3" s="77"/>
    </x:row>
    <x:row r="4" ht="34" customHeight="1">
      <x:c r="A4" s="82" t="str">
        <x:v>来源层级</x:v>
      </x:c>
      <x:c r="B4" s="83" t="str">
        <x:v>典型来源</x:v>
      </x:c>
      <x:c r="C4" s="83" t="str">
        <x:v>允许确认什么</x:v>
      </x:c>
      <x:c r="D4" s="83" t="str">
        <x:v>不能确认什么</x:v>
      </x:c>
      <x:c r="E4" s="83" t="str">
        <x:v>广告风险</x:v>
      </x:c>
      <x:c r="F4" s="83" t="str">
        <x:v>默认权重</x:v>
      </x:c>
      <x:c r="G4" s="83" t="str">
        <x:v>处理方式</x:v>
      </x:c>
      <x:c r="H4" s="84" t="str">
        <x:v>例子</x:v>
      </x:c>
    </x:row>
    <x:row r="5">
      <x:c r="A5" s="34" t="str">
        <x:v>S1 原始权威</x:v>
      </x:c>
      <x:c r="B5" s="34" t="str">
        <x:v>政府、景区、交通、博物馆</x:v>
      </x:c>
      <x:c r="C5" s="34" t="str">
        <x:v>开放、票务、政策、地址、规则</x:v>
      </x:c>
      <x:c r="D5" s="34" t="str">
        <x:v>体验是否值得</x:v>
      </x:c>
      <x:c r="E5" s="34" t="str">
        <x:v>低</x:v>
      </x:c>
      <x:c r="F5" s="57" t="n">
        <x:v>5</x:v>
      </x:c>
      <x:c r="G5" s="34" t="str">
        <x:v>事实基准；仍记录发布日期</x:v>
      </x:c>
      <x:c r="H5" s="34" t="str">
        <x:v>重庆政府、三峡博物馆</x:v>
      </x:c>
    </x:row>
    <x:row r="6">
      <x:c r="A6" s="55" t="str">
        <x:v>S2 专业研究</x:v>
      </x:c>
      <x:c r="B6" s="55" t="str">
        <x:v>遗产机构、学术、专业媒体</x:v>
      </x:c>
      <x:c r="C6" s="55" t="str">
        <x:v>历史背景、文化价值、设计与保护</x:v>
      </x:c>
      <x:c r="D6" s="55" t="str">
        <x:v>当日运营与实时拥挤</x:v>
      </x:c>
      <x:c r="E6" s="55" t="str">
        <x:v>低—中</x:v>
      </x:c>
      <x:c r="F6" s="58" t="n">
        <x:v>4</x:v>
      </x:c>
      <x:c r="G6" s="55" t="str">
        <x:v>用于叙事与解释</x:v>
      </x:c>
      <x:c r="H6" s="55" t="str">
        <x:v>遗产资料、建筑评论</x:v>
      </x:c>
    </x:row>
    <x:row r="7">
      <x:c r="A7" s="55" t="str">
        <x:v>S3 海外真实使用</x:v>
      </x:c>
      <x:c r="B7" s="55" t="str">
        <x:v>Reddit、Trip Report、独立博客</x:v>
      </x:c>
      <x:c r="C7" s="55" t="str">
        <x:v>外国人困难、路线冲突、真实感受</x:v>
      </x:c>
      <x:c r="D7" s="55" t="str">
        <x:v>官方价格与开放时间</x:v>
      </x:c>
      <x:c r="E7" s="55" t="str">
        <x:v>中</x:v>
      </x:c>
      <x:c r="F7" s="58" t="n">
        <x:v>3</x:v>
      </x:c>
      <x:c r="G7" s="55" t="str">
        <x:v>提炼问题；至少两条独立证据</x:v>
      </x:c>
      <x:c r="H7" s="55" t="str">
        <x:v>路线过满、台阶、支付</x:v>
      </x:c>
    </x:row>
    <x:row r="8">
      <x:c r="A8" s="55" t="str">
        <x:v>S4 本地发现</x:v>
      </x:c>
      <x:c r="B8" s="55" t="str">
        <x:v>本地媒体、小红书、抖音、B站</x:v>
      </x:c>
      <x:c r="C8" s="55" t="str">
        <x:v>新地点、社区线索、拍摄角度</x:v>
      </x:c>
      <x:c r="D8" s="55" t="str">
        <x:v>是否适合外国游客</x:v>
      </x:c>
      <x:c r="E8" s="55" t="str">
        <x:v>中—高</x:v>
      </x:c>
      <x:c r="F8" s="58" t="n">
        <x:v>2</x:v>
      </x:c>
      <x:c r="G8" s="55" t="str">
        <x:v>只进候选池，需反向检索</x:v>
      </x:c>
      <x:c r="H8" s="55" t="str">
        <x:v>隐藏机位、季节活动</x:v>
      </x:c>
    </x:row>
    <x:row r="9">
      <x:c r="A9" s="56" t="str">
        <x:v>S5 商业营销</x:v>
      </x:c>
      <x:c r="B9" s="56" t="str">
        <x:v>OTA、旅行社、供应商官网</x:v>
      </x:c>
      <x:c r="C9" s="56" t="str">
        <x:v>产品存在、语言、标价、联系方式</x:v>
      </x:c>
      <x:c r="D9" s="56" t="str">
        <x:v>真实质量与履约能力</x:v>
      </x:c>
      <x:c r="E9" s="56" t="str">
        <x:v>高</x:v>
      </x:c>
      <x:c r="F9" s="59" t="n">
        <x:v>1</x:v>
      </x:c>
      <x:c r="G9" s="56" t="str">
        <x:v>供应商与评价分开；不进入事实结论</x:v>
      </x:c>
      <x:c r="H9" s="56" t="str">
        <x:v>英文导游、食物团</x:v>
      </x:c>
    </x:row>
    <x:row r="10">
      <x:c r="A10" s="77"/>
      <x:c r="B10" s="77"/>
      <x:c r="C10" s="77"/>
      <x:c r="D10" s="77"/>
      <x:c r="E10" s="77"/>
      <x:c r="F10" s="77"/>
      <x:c r="G10" s="77"/>
      <x:c r="H10" s="77"/>
    </x:row>
    <x:row r="11">
      <x:c r="A11" s="80" t="str">
        <x:v>地点产品分（判断是否值得进入付费路书）</x:v>
      </x:c>
      <x:c r="B11" s="80"/>
      <x:c r="C11" s="80"/>
      <x:c r="D11" s="80"/>
      <x:c r="E11" s="80"/>
      <x:c r="F11" s="80"/>
      <x:c r="G11" s="80"/>
      <x:c r="H11" s="80"/>
    </x:row>
    <x:row r="12" ht="34" customHeight="1">
      <x:c r="A12" s="82" t="str">
        <x:v>维度</x:v>
      </x:c>
      <x:c r="B12" s="83" t="str">
        <x:v>权重</x:v>
      </x:c>
      <x:c r="C12" s="83" t="str">
        <x:v>高分定义</x:v>
      </x:c>
      <x:c r="D12" s="83" t="str">
        <x:v>低分定义</x:v>
      </x:c>
      <x:c r="E12" s="84" t="str">
        <x:v>注意</x:v>
      </x:c>
      <x:c r="F12" s="77"/>
      <x:c r="G12" s="77"/>
      <x:c r="H12" s="77"/>
    </x:row>
    <x:row r="13">
      <x:c r="A13" s="34" t="str">
        <x:v>独特性</x:v>
      </x:c>
      <x:c r="B13" s="60" t="n">
        <x:v>0.25</x:v>
      </x:c>
      <x:c r="C13" s="34" t="str">
        <x:v>离开重庆很难替代</x:v>
      </x:c>
      <x:c r="D13" s="34" t="str">
        <x:v>其他城市或网红街区可替代</x:v>
      </x:c>
      <x:c r="E13" s="34" t="str">
        <x:v>热度不等于独特性</x:v>
      </x:c>
      <x:c r="F13" s="77"/>
      <x:c r="G13" s="77"/>
      <x:c r="H13" s="77"/>
    </x:row>
    <x:row r="14">
      <x:c r="A14" s="55" t="str">
        <x:v>叙事密度</x:v>
      </x:c>
      <x:c r="B14" s="61" t="n">
        <x:v>0.25</x:v>
      </x:c>
      <x:c r="C14" s="55" t="str">
        <x:v>能解释城市、历史和生活</x:v>
      </x:c>
      <x:c r="D14" s="55" t="str">
        <x:v>只有拍照动作</x:v>
      </x:c>
      <x:c r="E14" s="55" t="str">
        <x:v>必须能写出“为什么”</x:v>
      </x:c>
      <x:c r="F14" s="77"/>
      <x:c r="G14" s="77"/>
      <x:c r="H14" s="77"/>
    </x:row>
    <x:row r="15">
      <x:c r="A15" s="55" t="str">
        <x:v>路线适配</x:v>
      </x:c>
      <x:c r="B15" s="61" t="n">
        <x:v>0.2</x:v>
      </x:c>
      <x:c r="C15" s="55" t="str">
        <x:v>能与前后节点形成顺路的一天</x:v>
      </x:c>
      <x:c r="D15" s="55" t="str">
        <x:v>单点孤立、转场代价大</x:v>
      </x:c>
      <x:c r="E15" s="55" t="str">
        <x:v>按门到门时间判断</x:v>
      </x:c>
      <x:c r="F15" s="77"/>
      <x:c r="G15" s="77"/>
      <x:c r="H15" s="77"/>
    </x:row>
    <x:row r="16">
      <x:c r="A16" s="55" t="str">
        <x:v>外国人可用</x:v>
      </x:c>
      <x:c r="B16" s="61" t="n">
        <x:v>0.2</x:v>
      </x:c>
      <x:c r="C16" s="55" t="str">
        <x:v>证件、支付、语言和入口清楚</x:v>
      </x:c>
      <x:c r="D16" s="55" t="str">
        <x:v>需要本地手机号或中文协助</x:v>
      </x:c>
      <x:c r="E16" s="55" t="str">
        <x:v>可通过人工服务补足</x:v>
      </x:c>
      <x:c r="F16" s="77"/>
      <x:c r="G16" s="77"/>
      <x:c r="H16" s="77"/>
    </x:row>
    <x:row r="17">
      <x:c r="A17" s="56" t="str">
        <x:v>摩擦成本反向分</x:v>
      </x:c>
      <x:c r="B17" s="62" t="n">
        <x:v>0.1</x:v>
      </x:c>
      <x:c r="C17" s="56" t="str">
        <x:v>低排队、低台阶、低不确定</x:v>
      </x:c>
      <x:c r="D17" s="56" t="str">
        <x:v>高拥挤、高台阶、高变动</x:v>
      </x:c>
      <x:c r="E17" s="56" t="str">
        <x:v>高摩擦可转为付费服务</x:v>
      </x:c>
      <x:c r="F17" s="77"/>
      <x:c r="G17" s="77"/>
      <x:c r="H17" s="77"/>
    </x:row>
    <x:row r="18">
      <x:c r="A18" s="77"/>
      <x:c r="B18" s="77"/>
      <x:c r="C18" s="77"/>
      <x:c r="D18" s="77"/>
      <x:c r="E18" s="77"/>
      <x:c r="F18" s="77"/>
      <x:c r="G18" s="77"/>
      <x:c r="H18" s="77"/>
    </x:row>
    <x:row r="19">
      <x:c r="A19" s="81" t="str">
        <x:v>反向检索清单：每个热门地点必须补搜</x:v>
      </x:c>
      <x:c r="B19" s="81"/>
      <x:c r="C19" s="81"/>
      <x:c r="D19" s="81"/>
      <x:c r="E19" s="81"/>
      <x:c r="F19" s="81"/>
      <x:c r="G19" s="81"/>
      <x:c r="H19" s="81"/>
    </x:row>
    <x:row r="20" ht="34" customHeight="1">
      <x:c r="A20" s="34" t="str">
        <x:v>英文</x:v>
      </x:c>
      <x:c r="B20" s="34" t="str">
        <x:v>overrated / tourist trap / closed / too crowded</x:v>
      </x:c>
      <x:c r="C20" s="34" t="str">
        <x:v>stairs / disabled / elderly / stroller</x:v>
      </x:c>
      <x:c r="D20" s="34" t="str">
        <x:v>passport / foreign card / English</x:v>
      </x:c>
      <x:c r="E20" s="34" t="str">
        <x:v>rain / heat / last train / taxi</x:v>
      </x:c>
      <x:c r="F20" s="34" t="str"/>
      <x:c r="G20" s="34" t="str"/>
      <x:c r="H20" s="34" t="str"/>
    </x:row>
    <x:row r="21" ht="34" customHeight="1">
      <x:c r="A21" s="55" t="str">
        <x:v>中文</x:v>
      </x:c>
      <x:c r="B21" s="55" t="str">
        <x:v>暂停开放 / 施工 / 客流 / 限流</x:v>
      </x:c>
      <x:c r="C21" s="55" t="str">
        <x:v>排队 / 绕路 / 台阶 / 封路</x:v>
      </x:c>
      <x:c r="D21" s="55" t="str">
        <x:v>预约 / 护照 / 外卡 / 现金</x:v>
      </x:c>
      <x:c r="E21" s="55" t="str">
        <x:v>雨天 / 高温 / 末班车 / 打车</x:v>
      </x:c>
      <x:c r="F21" s="55" t="str"/>
      <x:c r="G21" s="55" t="str"/>
      <x:c r="H21" s="55" t="str"/>
    </x:row>
    <x:row r="22" ht="34" customHeight="1">
      <x:c r="A22" s="55" t="str">
        <x:v>评价抽样</x:v>
      </x:c>
      <x:c r="B22" s="55" t="str">
        <x:v>不只看首页高赞</x:v>
      </x:c>
      <x:c r="C22" s="55" t="str">
        <x:v>抽取近期、中评、差评</x:v>
      </x:c>
      <x:c r="D22" s="55" t="str">
        <x:v>区分服务失败与个人偏好</x:v>
      </x:c>
      <x:c r="E22" s="55" t="str">
        <x:v>记录反复出现的问题</x:v>
      </x:c>
      <x:c r="F22" s="55" t="str"/>
      <x:c r="G22" s="55" t="str"/>
      <x:c r="H22" s="55" t="str"/>
    </x:row>
    <x:row r="23" ht="34" customHeight="1">
      <x:c r="A23" s="55" t="str">
        <x:v>冲突处理</x:v>
      </x:c>
      <x:c r="B23" s="55" t="str">
        <x:v>不替用户猜</x:v>
      </x:c>
      <x:c r="C23" s="55" t="str">
        <x:v>保留多个来源及日期</x:v>
      </x:c>
      <x:c r="D23" s="55" t="str">
        <x:v>降低可信等级</x:v>
      </x:c>
      <x:c r="E23" s="55" t="str">
        <x:v>列入电话/实地核验</x:v>
      </x:c>
      <x:c r="F23" s="55" t="str"/>
      <x:c r="G23" s="55" t="str"/>
      <x:c r="H23" s="55" t="str"/>
    </x:row>
    <x:row r="24" ht="34" customHeight="1">
      <x:c r="A24" s="56" t="str">
        <x:v>更新机制</x:v>
      </x:c>
      <x:c r="B24" s="56" t="str">
        <x:v>高风险信息30天复核</x:v>
      </x:c>
      <x:c r="C24" s="56" t="str">
        <x:v>一般运营信息90天</x:v>
      </x:c>
      <x:c r="D24" s="56" t="str">
        <x:v>历史背景按年复核</x:v>
      </x:c>
      <x:c r="E24" s="56" t="str">
        <x:v>重大变化立即下架</x:v>
      </x:c>
      <x:c r="F24" s="56" t="str"/>
      <x:c r="G24" s="56" t="str"/>
      <x:c r="H24" s="56" t="str"/>
    </x:row>
  </x:sheetData>
  <x:mergeCells>
    <x:mergeCell ref="A1:H1"/>
    <x:mergeCell ref="A2:H2"/>
    <x:mergeCell ref="A11:H11"/>
    <x:mergeCell ref="A19:H19"/>
    <x:mergeCell ref="E20:H20"/>
    <x:mergeCell ref="E21:H21"/>
    <x:mergeCell ref="E22:H22"/>
    <x:mergeCell ref="E23:H23"/>
    <x:mergeCell ref="E24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15" hidden="0" customWidth="1"/>
    <x:col min="5" max="5" width="24" hidden="0" customWidth="1"/>
    <x:col min="6" max="6" width="13" hidden="0" customWidth="1"/>
    <x:col min="7" max="7" width="20" hidden="0" customWidth="1"/>
    <x:col min="8" max="8" width="42" hidden="0" customWidth="1"/>
    <x:col min="9" max="9" width="9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8" hidden="0" customWidth="1"/>
    <x:col min="18" max="18" width="10" hidden="0" customWidth="1"/>
    <x:col min="19" max="19" width="10" hidden="0" customWidth="1"/>
    <x:col min="20" max="20" width="8" hidden="0" customWidth="1"/>
    <x:col min="21" max="21" width="14" hidden="0" customWidth="1"/>
    <x:col min="22" max="22" width="16" hidden="0" customWidth="1"/>
    <x:col min="23" max="23" width="16" hidden="0" customWidth="1"/>
    <x:col min="24" max="24" width="30" hidden="0" customWidth="1"/>
    <x:col min="25" max="25" width="23" hidden="0" customWidth="1"/>
    <x:col min="26" max="26" width="20" hidden="0" customWidth="1"/>
    <x:col min="27" max="27" width="24" hidden="0" customWidth="1"/>
    <x:col min="28" max="28" width="32" hidden="0" customWidth="1"/>
    <x:col min="29" max="29" width="44" hidden="0" customWidth="1"/>
    <x:col min="30" max="30" width="44" hidden="0" customWidth="1"/>
    <x:col min="31" max="31" width="13" hidden="0" customWidth="1"/>
    <x:col min="32" max="32" width="15" hidden="0" customWidth="1"/>
  </x:cols>
  <x:sheetData>
    <x:row r="1" ht="36" customHeight="1">
      <x:c r="A1" s="75" t="str">
        <x:v>重庆地点与体验数据库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</x:row>
    <x:row r="2" ht="28" customHeight="1">
      <x:c r="A2" s="76" t="str">
        <x:v>V0.1 为网络研究版；现场核验字段全部为 0。产品分衡量“值得进入付费路书”，证据分衡量“现在能否对外承诺”。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  <x:c r="AA2" s="76"/>
      <x:c r="AB2" s="76"/>
      <x:c r="AC2" s="76"/>
      <x:c r="AD2" s="76"/>
      <x:c r="AE2" s="76"/>
      <x:c r="AF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  <x:c r="AA3" s="77"/>
      <x:c r="AB3" s="77"/>
      <x:c r="AC3" s="77"/>
      <x:c r="AD3" s="77"/>
      <x:c r="AE3" s="77"/>
      <x:c r="AF3" s="77"/>
    </x:row>
    <x:row r="4">
      <x:c r="A4" s="85" t="str">
        <x:v>评分说明：产品分 = 独特性25% + 叙事密度25% + 路线适配20% + 外国人可用20% + 低摩擦10%；证据等级 A≥85、B≥70、C≥50、D&lt;50。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  <x:c r="AA4" s="85"/>
      <x:c r="AB4" s="85"/>
      <x:c r="AC4" s="85"/>
      <x:c r="AD4" s="85"/>
      <x:c r="AE4" s="85"/>
      <x:c r="AF4" s="85"/>
    </x:row>
    <x:row r="5" ht="34" customHeight="1">
      <x:c r="A5" s="82" t="str">
        <x:v>ID</x:v>
      </x:c>
      <x:c r="B5" s="83" t="str">
        <x:v>地点/体验</x:v>
      </x:c>
      <x:c r="C5" s="83" t="str">
        <x:v>区域</x:v>
      </x:c>
      <x:c r="D5" s="83" t="str">
        <x:v>类型</x:v>
      </x:c>
      <x:c r="E5" s="83" t="str">
        <x:v>核心主题</x:v>
      </x:c>
      <x:c r="F5" s="83" t="str">
        <x:v>推荐等级</x:v>
      </x:c>
      <x:c r="G5" s="83" t="str">
        <x:v>适合客群</x:v>
      </x:c>
      <x:c r="H5" s="83" t="str">
        <x:v>推荐/删除理由</x:v>
      </x:c>
      <x:c r="I5" s="83" t="str">
        <x:v>独特性</x:v>
      </x:c>
      <x:c r="J5" s="83" t="str">
        <x:v>叙事密度</x:v>
      </x:c>
      <x:c r="K5" s="83" t="str">
        <x:v>路线适配</x:v>
      </x:c>
      <x:c r="L5" s="83" t="str">
        <x:v>外国人可用</x:v>
      </x:c>
      <x:c r="M5" s="83" t="str">
        <x:v>摩擦成本</x:v>
      </x:c>
      <x:c r="N5" s="83" t="str">
        <x:v>产品分</x:v>
      </x:c>
      <x:c r="O5" s="83" t="str">
        <x:v>来源权威</x:v>
      </x:c>
      <x:c r="P5" s="83" t="str">
        <x:v>交叉一致</x:v>
      </x:c>
      <x:c r="Q5" s="83" t="str">
        <x:v>时效</x:v>
      </x:c>
      <x:c r="R5" s="83" t="str">
        <x:v>现场核验</x:v>
      </x:c>
      <x:c r="S5" s="83" t="str">
        <x:v>证据分</x:v>
      </x:c>
      <x:c r="T5" s="83" t="str">
        <x:v>等级</x:v>
      </x:c>
      <x:c r="U5" s="83" t="str">
        <x:v>停留</x:v>
      </x:c>
      <x:c r="V5" s="83" t="str">
        <x:v>体力/台阶</x:v>
      </x:c>
      <x:c r="W5" s="83" t="str">
        <x:v>最佳时段</x:v>
      </x:c>
      <x:c r="X5" s="83" t="str">
        <x:v>预约/购票</x:v>
      </x:c>
      <x:c r="Y5" s="83" t="str">
        <x:v>支付/证件</x:v>
      </x:c>
      <x:c r="Z5" s="83" t="str">
        <x:v>英语支持</x:v>
      </x:c>
      <x:c r="AA5" s="83" t="str">
        <x:v>雨天/替代</x:v>
      </x:c>
      <x:c r="AB5" s="83" t="str">
        <x:v>主要风险/噪音</x:v>
      </x:c>
      <x:c r="AC5" s="83" t="str">
        <x:v>来源URL 1</x:v>
      </x:c>
      <x:c r="AD5" s="83" t="str">
        <x:v>来源URL 2</x:v>
      </x:c>
      <x:c r="AE5" s="83" t="str">
        <x:v>最后检查</x:v>
      </x:c>
      <x:c r="AF5" s="84" t="str">
        <x:v>下一步</x:v>
      </x:c>
    </x:row>
    <x:row r="6">
      <x:c r="A6" s="34" t="str">
        <x:v>CQ001</x:v>
      </x:c>
      <x:c r="B6" s="34" t="str">
        <x:v>解放碑步行街</x:v>
      </x:c>
      <x:c r="C6" s="34" t="str">
        <x:v>渝中区</x:v>
      </x:c>
      <x:c r="D6" s="34" t="str">
        <x:v>城市地标</x:v>
      </x:c>
      <x:c r="E6" s="34" t="str">
        <x:v>抗战记忆与当代商业中心</x:v>
      </x:c>
      <x:c r="F6" s="34" t="str">
        <x:v>必去核心</x:v>
      </x:c>
      <x:c r="G6" s="34" t="str">
        <x:v>首次来渝/城市观察</x:v>
      </x:c>
      <x:c r="H6" s="34" t="str">
        <x:v>适合作为方向与城市层级的起点；不建议长时间购物式停留。</x:v>
      </x:c>
      <x:c r="I6" s="65" t="n">
        <x:v>4</x:v>
      </x:c>
      <x:c r="J6" s="65" t="n">
        <x:v>4</x:v>
      </x:c>
      <x:c r="K6" s="65" t="n">
        <x:v>5</x:v>
      </x:c>
      <x:c r="L6" s="65" t="n">
        <x:v>5</x:v>
      </x:c>
      <x:c r="M6" s="65" t="n">
        <x:v>2</x:v>
      </x:c>
      <x:c r="N6" s="68" t="n">
        <x:f>ROUND((I6*25+J6*25+K6*20+L6*20+(6-M6)*10)/5,0)</x:f>
        <x:v>88</x:v>
      </x:c>
      <x:c r="O6" s="65" t="n">
        <x:v>4</x:v>
      </x:c>
      <x:c r="P6" s="65" t="n">
        <x:v>4</x:v>
      </x:c>
      <x:c r="Q6" s="65" t="n">
        <x:v>4</x:v>
      </x:c>
      <x:c r="R6" s="65" t="n">
        <x:v>0</x:v>
      </x:c>
      <x:c r="S6" s="68" t="n">
        <x:f>ROUND((O6*35+P6*25+Q6*20+IF(R6=1,5,2)*20)/5,0)</x:f>
        <x:v>72</x:v>
      </x:c>
      <x:c r="T6" s="34" t="str">
        <x:f>IF(S6&gt;=85,"A",IF(S6&gt;=70,"B",IF(S6&gt;=50,"C","D")))</x:f>
        <x:v>B</x:v>
      </x:c>
      <x:c r="U6" s="34" t="str">
        <x:v>30—45分钟</x:v>
      </x:c>
      <x:c r="V6" s="34" t="str">
        <x:v>低</x:v>
      </x:c>
      <x:c r="W6" s="34" t="str">
        <x:v>上午或夜间顺路</x:v>
      </x:c>
      <x:c r="X6" s="34" t="str">
        <x:v>开放街区</x:v>
      </x:c>
      <x:c r="Y6" s="34" t="str">
        <x:v>移动支付/现金</x:v>
      </x:c>
      <x:c r="Z6" s="34" t="str">
        <x:v>中英标识较好</x:v>
      </x:c>
      <x:c r="AA6" s="34" t="str">
        <x:v>雨天可用地下通道和商场</x:v>
      </x:c>
      <x:c r="AB6" s="34" t="str">
        <x:v>节假日拥挤；商业内容噪音高</x:v>
      </x:c>
      <x:c r="AC6" s="34" t="str">
        <x:v>https://www.cq.gov.cn/zwgk/zfxxgkml/szfwj/qtgw/202607/t20260710_15814399_app.html</x:v>
      </x:c>
      <x:c r="AD6" s="34" t="str">
        <x:v>https://www.cq.gov.cn/zjcq/cycq/jplyxl/dsy/dsjp/202409/t20240905_13599455.html</x:v>
      </x:c>
      <x:c r="AE6" s="71" t="n">
        <x:v>46231</x:v>
      </x:c>
      <x:c r="AF6" s="34" t="str">
        <x:v>实地核验</x:v>
      </x:c>
    </x:row>
    <x:row r="7">
      <x:c r="A7" s="55" t="str">
        <x:v>CQ002</x:v>
      </x:c>
      <x:c r="B7" s="55" t="str">
        <x:v>洪崖洞（外观与层级体验）</x:v>
      </x:c>
      <x:c r="C7" s="55" t="str">
        <x:v>渝中区</x:v>
      </x:c>
      <x:c r="D7" s="55" t="str">
        <x:v>城市地标</x:v>
      </x:c>
      <x:c r="E7" s="55" t="str">
        <x:v>山地建筑、悬崖高差与夜景</x:v>
      </x:c>
      <x:c r="F7" s="55" t="str">
        <x:v>必去核心</x:v>
      </x:c>
      <x:c r="G7" s="55" t="str">
        <x:v>首次来渝/摄影</x:v>
      </x:c>
      <x:c r="H7" s="55" t="str">
        <x:v>价值在外部视角和高差感知；内部商业内容降级，限时45分钟。</x:v>
      </x:c>
      <x:c r="I7" s="66" t="n">
        <x:v>5</x:v>
      </x:c>
      <x:c r="J7" s="66" t="n">
        <x:v>3</x:v>
      </x:c>
      <x:c r="K7" s="66" t="n">
        <x:v>5</x:v>
      </x:c>
      <x:c r="L7" s="66" t="n">
        <x:v>4</x:v>
      </x:c>
      <x:c r="M7" s="66" t="n">
        <x:v>5</x:v>
      </x:c>
      <x:c r="N7" s="69" t="n">
        <x:f>ROUND((I7*25+J7*25+K7*20+L7*20+(6-M7)*10)/5,0)</x:f>
        <x:v>78</x:v>
      </x:c>
      <x:c r="O7" s="66" t="n">
        <x:v>5</x:v>
      </x:c>
      <x:c r="P7" s="66" t="n">
        <x:v>5</x:v>
      </x:c>
      <x:c r="Q7" s="66" t="n">
        <x:v>4</x:v>
      </x:c>
      <x:c r="R7" s="66" t="n">
        <x:v>0</x:v>
      </x:c>
      <x:c r="S7" s="69" t="n">
        <x:f>ROUND((O7*35+P7*25+Q7*20+IF(R7=1,5,2)*20)/5,0)</x:f>
        <x:v>84</x:v>
      </x:c>
      <x:c r="T7" s="55" t="str">
        <x:f>IF(S7&gt;=85,"A",IF(S7&gt;=70,"B",IF(S7&gt;=50,"C","D")))</x:f>
        <x:v>B</x:v>
      </x:c>
      <x:c r="U7" s="55" t="str">
        <x:v>30—60分钟</x:v>
      </x:c>
      <x:c r="V7" s="55" t="str">
        <x:v>中；台阶/拥挤</x:v>
      </x:c>
      <x:c r="W7" s="55" t="str">
        <x:v>亮灯前后</x:v>
      </x:c>
      <x:c r="X7" s="55" t="str">
        <x:v>开放街区；客流管控可能变化</x:v>
      </x:c>
      <x:c r="Y7" s="55" t="str">
        <x:v>移动支付/现金</x:v>
      </x:c>
      <x:c r="Z7" s="55" t="str">
        <x:v>标识尚可</x:v>
      </x:c>
      <x:c r="AA7" s="55" t="str">
        <x:v>雨天改大剧院一侧远观</x:v>
      </x:c>
      <x:c r="AB7" s="55" t="str">
        <x:v>内部同质化商业、拥挤、排队</x:v>
      </x:c>
      <x:c r="AC7" s="55" t="str">
        <x:v>https://www.cq.gov.cn/zjcq/cycq/jplyxl/dsy/dsjp/202409/t20240905_13599455.html</x:v>
      </x:c>
      <x:c r="AD7" s="55" t="str">
        <x:v>https://www.reddit.com/r/travelchina/comments/1v4olqp/thoughts_on_my_chongqing_itinerary/</x:v>
      </x:c>
      <x:c r="AE7" s="72" t="n">
        <x:v>46231</x:v>
      </x:c>
      <x:c r="AF7" s="55" t="str">
        <x:v>实地核验</x:v>
      </x:c>
    </x:row>
    <x:row r="8">
      <x:c r="A8" s="55" t="str">
        <x:v>CQ003</x:v>
      </x:c>
      <x:c r="B8" s="55" t="str">
        <x:v>千厮门大桥/大剧院江岸视角</x:v>
      </x:c>
      <x:c r="C8" s="55" t="str">
        <x:v>江北区</x:v>
      </x:c>
      <x:c r="D8" s="55" t="str">
        <x:v>城市景观</x:v>
      </x:c>
      <x:c r="E8" s="55" t="str">
        <x:v>两江、桥梁与洪崖洞整体关系</x:v>
      </x:c>
      <x:c r="F8" s="55" t="str">
        <x:v>深度推荐</x:v>
      </x:c>
      <x:c r="G8" s="55" t="str">
        <x:v>摄影/建筑/背包客</x:v>
      </x:c>
      <x:c r="H8" s="55" t="str">
        <x:v>比洪崖洞内部更能解释重庆空间；与洪崖洞组成一组。</x:v>
      </x:c>
      <x:c r="I8" s="66" t="n">
        <x:v>5</x:v>
      </x:c>
      <x:c r="J8" s="66" t="n">
        <x:v>4</x:v>
      </x:c>
      <x:c r="K8" s="66" t="n">
        <x:v>5</x:v>
      </x:c>
      <x:c r="L8" s="66" t="n">
        <x:v>5</x:v>
      </x:c>
      <x:c r="M8" s="66" t="n">
        <x:v>2</x:v>
      </x:c>
      <x:c r="N8" s="69" t="n">
        <x:f>ROUND((I8*25+J8*25+K8*20+L8*20+(6-M8)*10)/5,0)</x:f>
        <x:v>93</x:v>
      </x:c>
      <x:c r="O8" s="66" t="n">
        <x:v>3</x:v>
      </x:c>
      <x:c r="P8" s="66" t="n">
        <x:v>4</x:v>
      </x:c>
      <x:c r="Q8" s="66" t="n">
        <x:v>3</x:v>
      </x:c>
      <x:c r="R8" s="66" t="n">
        <x:v>0</x:v>
      </x:c>
      <x:c r="S8" s="69" t="n">
        <x:f>ROUND((O8*35+P8*25+Q8*20+IF(R8=1,5,2)*20)/5,0)</x:f>
        <x:v>61</x:v>
      </x:c>
      <x:c r="T8" s="55" t="str">
        <x:f>IF(S8&gt;=85,"A",IF(S8&gt;=70,"B",IF(S8&gt;=50,"C","D")))</x:f>
        <x:v>C</x:v>
      </x:c>
      <x:c r="U8" s="55" t="str">
        <x:v>45—75分钟</x:v>
      </x:c>
      <x:c r="V8" s="55" t="str">
        <x:v>中；步行</x:v>
      </x:c>
      <x:c r="W8" s="55" t="str">
        <x:v>日落至亮灯</x:v>
      </x:c>
      <x:c r="X8" s="55" t="str">
        <x:v>开放空间</x:v>
      </x:c>
      <x:c r="Y8" s="55" t="str">
        <x:v>免费</x:v>
      </x:c>
      <x:c r="Z8" s="55" t="str">
        <x:v>无需服务</x:v>
      </x:c>
      <x:c r="AA8" s="55" t="str">
        <x:v>雨天谨慎桥面风雨</x:v>
      </x:c>
      <x:c r="AB8" s="55" t="str">
        <x:v>大型活动与人流管制</x:v>
      </x:c>
      <x:c r="AC8" s="55" t="str">
        <x:v>https://www.cq.gov.cn/zjcq/cycq/jplyxl/dsy/dsjp/202409/t20240905_13599455.html</x:v>
      </x:c>
      <x:c r="AD8" s="55" t="str">
        <x:v>https://www.reddit.com/r/travelchina/comments/1rotlj9/is_chongqing_just_a_night_city_what_to_do_during/</x:v>
      </x:c>
      <x:c r="AE8" s="72" t="n">
        <x:v>46231</x:v>
      </x:c>
      <x:c r="AF8" s="55" t="str">
        <x:v>实地核验</x:v>
      </x:c>
    </x:row>
    <x:row r="9">
      <x:c r="A9" s="55" t="str">
        <x:v>CQ004</x:v>
      </x:c>
      <x:c r="B9" s="55" t="str">
        <x:v>魁星楼</x:v>
      </x:c>
      <x:c r="C9" s="55" t="str">
        <x:v>渝中区</x:v>
      </x:c>
      <x:c r="D9" s="55" t="str">
        <x:v>城市空间</x:v>
      </x:c>
      <x:c r="E9" s="55" t="str">
        <x:v>屋顶地面、22层落差</x:v>
      </x:c>
      <x:c r="F9" s="55" t="str">
        <x:v>深度推荐</x:v>
      </x:c>
      <x:c r="G9" s="55" t="str">
        <x:v>建筑/城市观察</x:v>
      </x:c>
      <x:c r="H9" s="55" t="str">
        <x:v>短停即可获得“8D”直观理解；不可单独拉长成景点。</x:v>
      </x:c>
      <x:c r="I9" s="66" t="n">
        <x:v>5</x:v>
      </x:c>
      <x:c r="J9" s="66" t="n">
        <x:v>4</x:v>
      </x:c>
      <x:c r="K9" s="66" t="n">
        <x:v>5</x:v>
      </x:c>
      <x:c r="L9" s="66" t="n">
        <x:v>5</x:v>
      </x:c>
      <x:c r="M9" s="66" t="n">
        <x:v>2</x:v>
      </x:c>
      <x:c r="N9" s="69" t="n">
        <x:f>ROUND((I9*25+J9*25+K9*20+L9*20+(6-M9)*10)/5,0)</x:f>
        <x:v>93</x:v>
      </x:c>
      <x:c r="O9" s="66" t="n">
        <x:v>3</x:v>
      </x:c>
      <x:c r="P9" s="66" t="n">
        <x:v>4</x:v>
      </x:c>
      <x:c r="Q9" s="66" t="n">
        <x:v>3</x:v>
      </x:c>
      <x:c r="R9" s="66" t="n">
        <x:v>0</x:v>
      </x:c>
      <x:c r="S9" s="69" t="n">
        <x:f>ROUND((O9*35+P9*25+Q9*20+IF(R9=1,5,2)*20)/5,0)</x:f>
        <x:v>61</x:v>
      </x:c>
      <x:c r="T9" s="55" t="str">
        <x:f>IF(S9&gt;=85,"A",IF(S9&gt;=70,"B",IF(S9&gt;=50,"C","D")))</x:f>
        <x:v>C</x:v>
      </x:c>
      <x:c r="U9" s="55" t="str">
        <x:v>20—30分钟</x:v>
      </x:c>
      <x:c r="V9" s="55" t="str">
        <x:v>低—中</x:v>
      </x:c>
      <x:c r="W9" s="55" t="str">
        <x:v>白天</x:v>
      </x:c>
      <x:c r="X9" s="55" t="str">
        <x:v>开放空间</x:v>
      </x:c>
      <x:c r="Y9" s="55" t="str">
        <x:v>免费</x:v>
      </x:c>
      <x:c r="Z9" s="55" t="str">
        <x:v>无需服务</x:v>
      </x:c>
      <x:c r="AA9" s="55" t="str">
        <x:v>雨天防滑</x:v>
      </x:c>
      <x:c r="AB9" s="55" t="str">
        <x:v>只拍照会显得浅</x:v>
      </x:c>
      <x:c r="AC9" s="55" t="str">
        <x:v>https://www.reddit.com/r/travelchina/comments/1v4olqp/thoughts_on_my_chongqing_itinerary/</x:v>
      </x:c>
      <x:c r="AD9" s="55" t="str">
        <x:v>https://www.reddit.com/r/travelchina/comments/1rotlj9/is_chongqing_just_a_night_city_what_to_do_during/</x:v>
      </x:c>
      <x:c r="AE9" s="72" t="n">
        <x:v>46231</x:v>
      </x:c>
      <x:c r="AF9" s="55" t="str">
        <x:v>实地核验</x:v>
      </x:c>
    </x:row>
    <x:row r="10">
      <x:c r="A10" s="55" t="str">
        <x:v>CQ005</x:v>
      </x:c>
      <x:c r="B10" s="55" t="str">
        <x:v>罗汉寺</x:v>
      </x:c>
      <x:c r="C10" s="55" t="str">
        <x:v>渝中区</x:v>
      </x:c>
      <x:c r="D10" s="55" t="str">
        <x:v>宗教/历史</x:v>
      </x:c>
      <x:c r="E10" s="55" t="str">
        <x:v>闹市中的佛教空间</x:v>
      </x:c>
      <x:c r="F10" s="55" t="str">
        <x:v>深度推荐</x:v>
      </x:c>
      <x:c r="G10" s="55" t="str">
        <x:v>文化/建筑/安静体验</x:v>
      </x:c>
      <x:c r="H10" s="55" t="str">
        <x:v>与周边摩天楼形成强烈对照，能打破纯赛博朋克叙事。</x:v>
      </x:c>
      <x:c r="I10" s="66" t="n">
        <x:v>4</x:v>
      </x:c>
      <x:c r="J10" s="66" t="n">
        <x:v>5</x:v>
      </x:c>
      <x:c r="K10" s="66" t="n">
        <x:v>4</x:v>
      </x:c>
      <x:c r="L10" s="66" t="n">
        <x:v>4</x:v>
      </x:c>
      <x:c r="M10" s="66" t="n">
        <x:v>2</x:v>
      </x:c>
      <x:c r="N10" s="69" t="n">
        <x:f>ROUND((I10*25+J10*25+K10*20+L10*20+(6-M10)*10)/5,0)</x:f>
        <x:v>85</x:v>
      </x:c>
      <x:c r="O10" s="66" t="n">
        <x:v>3</x:v>
      </x:c>
      <x:c r="P10" s="66" t="n">
        <x:v>3</x:v>
      </x:c>
      <x:c r="Q10" s="66" t="n">
        <x:v>3</x:v>
      </x:c>
      <x:c r="R10" s="66" t="n">
        <x:v>0</x:v>
      </x:c>
      <x:c r="S10" s="69" t="n">
        <x:f>ROUND((O10*35+P10*25+Q10*20+IF(R10=1,5,2)*20)/5,0)</x:f>
        <x:v>56</x:v>
      </x:c>
      <x:c r="T10" s="55" t="str">
        <x:f>IF(S10&gt;=85,"A",IF(S10&gt;=70,"B",IF(S10&gt;=50,"C","D")))</x:f>
        <x:v>C</x:v>
      </x:c>
      <x:c r="U10" s="55" t="str">
        <x:v>45—60分钟</x:v>
      </x:c>
      <x:c r="V10" s="55" t="str">
        <x:v>低</x:v>
      </x:c>
      <x:c r="W10" s="55" t="str">
        <x:v>上午</x:v>
      </x:c>
      <x:c r="X10" s="55" t="str">
        <x:v>现场规则待核验</x:v>
      </x:c>
      <x:c r="Y10" s="55" t="str">
        <x:v>待核验</x:v>
      </x:c>
      <x:c r="Z10" s="55" t="str">
        <x:v>英文导览待核验</x:v>
      </x:c>
      <x:c r="AA10" s="55" t="str">
        <x:v>雨天可参观</x:v>
      </x:c>
      <x:c r="AB10" s="55" t="str">
        <x:v>宗教礼仪与拍摄边界</x:v>
      </x:c>
      <x:c r="AC10" s="55" t="str">
        <x:v>https://www.reddit.com/r/travelchina/comments/1v4olqp/thoughts_on_my_chongqing_itinerary/</x:v>
      </x:c>
      <x:c r="AD10" s="55" t="str">
        <x:v>https://www.reddit.com/r/travelchina/comments/1rotlj9/is_chongqing_just_a_night_city_what_to_do_during/</x:v>
      </x:c>
      <x:c r="AE10" s="72" t="n">
        <x:v>46231</x:v>
      </x:c>
      <x:c r="AF10" s="55" t="str">
        <x:v>电话核验</x:v>
      </x:c>
    </x:row>
    <x:row r="11">
      <x:c r="A11" s="55" t="str">
        <x:v>CQ006</x:v>
      </x:c>
      <x:c r="B11" s="55" t="str">
        <x:v>朝天门与来福士江岸</x:v>
      </x:c>
      <x:c r="C11" s="55" t="str">
        <x:v>渝中区</x:v>
      </x:c>
      <x:c r="D11" s="55" t="str">
        <x:v>城市景观</x:v>
      </x:c>
      <x:c r="E11" s="55" t="str">
        <x:v>两江交汇、码头史与当代城市更新</x:v>
      </x:c>
      <x:c r="F11" s="55" t="str">
        <x:v>深度推荐</x:v>
      </x:c>
      <x:c r="G11" s="55" t="str">
        <x:v>建筑/城市史/摄影</x:v>
      </x:c>
      <x:c r="H11" s="55" t="str">
        <x:v>江岸公共空间值得；付费观景台不默认推荐。</x:v>
      </x:c>
      <x:c r="I11" s="66" t="n">
        <x:v>4</x:v>
      </x:c>
      <x:c r="J11" s="66" t="n">
        <x:v>5</x:v>
      </x:c>
      <x:c r="K11" s="66" t="n">
        <x:v>5</x:v>
      </x:c>
      <x:c r="L11" s="66" t="n">
        <x:v>5</x:v>
      </x:c>
      <x:c r="M11" s="66" t="n">
        <x:v>2</x:v>
      </x:c>
      <x:c r="N11" s="69" t="n">
        <x:f>ROUND((I11*25+J11*25+K11*20+L11*20+(6-M11)*10)/5,0)</x:f>
        <x:v>93</x:v>
      </x:c>
      <x:c r="O11" s="66" t="n">
        <x:v>4</x:v>
      </x:c>
      <x:c r="P11" s="66" t="n">
        <x:v>4</x:v>
      </x:c>
      <x:c r="Q11" s="66" t="n">
        <x:v>3</x:v>
      </x:c>
      <x:c r="R11" s="66" t="n">
        <x:v>0</x:v>
      </x:c>
      <x:c r="S11" s="69" t="n">
        <x:f>ROUND((O11*35+P11*25+Q11*20+IF(R11=1,5,2)*20)/5,0)</x:f>
        <x:v>68</x:v>
      </x:c>
      <x:c r="T11" s="55" t="str">
        <x:f>IF(S11&gt;=85,"A",IF(S11&gt;=70,"B",IF(S11&gt;=50,"C","D")))</x:f>
        <x:v>C</x:v>
      </x:c>
      <x:c r="U11" s="55" t="str">
        <x:v>60—90分钟</x:v>
      </x:c>
      <x:c r="V11" s="55" t="str">
        <x:v>中</x:v>
      </x:c>
      <x:c r="W11" s="55" t="str">
        <x:v>傍晚</x:v>
      </x:c>
      <x:c r="X11" s="55" t="str">
        <x:v>江岸开放；内部项目另购票</x:v>
      </x:c>
      <x:c r="Y11" s="55" t="str">
        <x:v>移动支付/外卡待核验</x:v>
      </x:c>
      <x:c r="Z11" s="55" t="str">
        <x:v>商业体英语较好</x:v>
      </x:c>
      <x:c r="AA11" s="55" t="str">
        <x:v>雨天转室内</x:v>
      </x:c>
      <x:c r="AB11" s="55" t="str">
        <x:v>观景台价格与天气影响价值</x:v>
      </x:c>
      <x:c r="AC11" s="55" t="str">
        <x:v>https://cq.gov.cn/ywdt/bmts/202501/t20250123_14203069.html</x:v>
      </x:c>
      <x:c r="AD11" s="55" t="str">
        <x:v>https://www.reddit.com/r/travelchina/comments/1v4olqp/thoughts_on_my_chongqing_itinerary/</x:v>
      </x:c>
      <x:c r="AE11" s="72" t="n">
        <x:v>46231</x:v>
      </x:c>
      <x:c r="AF11" s="55" t="str">
        <x:v>实地核验</x:v>
      </x:c>
    </x:row>
    <x:row r="12">
      <x:c r="A12" s="55" t="str">
        <x:v>CQ007</x:v>
      </x:c>
      <x:c r="B12" s="55" t="str">
        <x:v>湖广会馆</x:v>
      </x:c>
      <x:c r="C12" s="55" t="str">
        <x:v>渝中区</x:v>
      </x:c>
      <x:c r="D12" s="55" t="str">
        <x:v>历史建筑/博物馆</x:v>
      </x:c>
      <x:c r="E12" s="55" t="str">
        <x:v>湖广填四川、移民与会馆文化</x:v>
      </x:c>
      <x:c r="F12" s="55" t="str">
        <x:v>必去核心</x:v>
      </x:c>
      <x:c r="G12" s="55" t="str">
        <x:v>文化/建筑/亲子/深度游客</x:v>
      </x:c>
      <x:c r="H12" s="55" t="str">
        <x:v>能解释重庆人口与城市形成，是从网红景观走向深度内容的关键节点。</x:v>
      </x:c>
      <x:c r="I12" s="66" t="n">
        <x:v>5</x:v>
      </x:c>
      <x:c r="J12" s="66" t="n">
        <x:v>5</x:v>
      </x:c>
      <x:c r="K12" s="66" t="n">
        <x:v>5</x:v>
      </x:c>
      <x:c r="L12" s="66" t="n">
        <x:v>3</x:v>
      </x:c>
      <x:c r="M12" s="66" t="n">
        <x:v>2</x:v>
      </x:c>
      <x:c r="N12" s="69" t="n">
        <x:f>ROUND((I12*25+J12*25+K12*20+L12*20+(6-M12)*10)/5,0)</x:f>
        <x:v>90</x:v>
      </x:c>
      <x:c r="O12" s="66" t="n">
        <x:v>5</x:v>
      </x:c>
      <x:c r="P12" s="66" t="n">
        <x:v>5</x:v>
      </x:c>
      <x:c r="Q12" s="66" t="n">
        <x:v>4</x:v>
      </x:c>
      <x:c r="R12" s="66" t="n">
        <x:v>0</x:v>
      </x:c>
      <x:c r="S12" s="69" t="n">
        <x:f>ROUND((O12*35+P12*25+Q12*20+IF(R12=1,5,2)*20)/5,0)</x:f>
        <x:v>84</x:v>
      </x:c>
      <x:c r="T12" s="55" t="str">
        <x:f>IF(S12&gt;=85,"A",IF(S12&gt;=70,"B",IF(S12&gt;=50,"C","D")))</x:f>
        <x:v>B</x:v>
      </x:c>
      <x:c r="U12" s="55" t="str">
        <x:v>90—120分钟</x:v>
      </x:c>
      <x:c r="V12" s="55" t="str">
        <x:v>中；坡地</x:v>
      </x:c>
      <x:c r="W12" s="55" t="str">
        <x:v>开馆后早段</x:v>
      </x:c>
      <x:c r="X12" s="55" t="str">
        <x:v>票务与护照规则待核验</x:v>
      </x:c>
      <x:c r="Y12" s="55" t="str">
        <x:v>待核验</x:v>
      </x:c>
      <x:c r="Z12" s="55" t="str">
        <x:v>英文内容待核验</x:v>
      </x:c>
      <x:c r="AA12" s="55" t="str">
        <x:v>适合雨天</x:v>
      </x:c>
      <x:c r="AB12" s="55" t="str">
        <x:v>演出和讲解可能有营销包装</x:v>
      </x:c>
      <x:c r="AC12" s="55" t="str">
        <x:v>https://whlyw.cq.gov.cn/zjwl/yzq/cqwlzy/zqwwzy/202405/t20240507_13182428.html</x:v>
      </x:c>
      <x:c r="AD12" s="55" t="str">
        <x:v>https://www.cq.gov.cn/zwgk/zfxxgkml/zdlyxxgk/ggwh/ly/zxdt/202408/t20240816_13513807.html</x:v>
      </x:c>
      <x:c r="AE12" s="72" t="n">
        <x:v>46231</x:v>
      </x:c>
      <x:c r="AF12" s="55" t="str">
        <x:v>电话核验</x:v>
      </x:c>
    </x:row>
    <x:row r="13">
      <x:c r="A13" s="55" t="str">
        <x:v>CQ008</x:v>
      </x:c>
      <x:c r="B13" s="55" t="str">
        <x:v>白象居及下半城坡坎</x:v>
      </x:c>
      <x:c r="C13" s="55" t="str">
        <x:v>渝中区</x:v>
      </x:c>
      <x:c r="D13" s="55" t="str">
        <x:v>社区/建筑</x:v>
      </x:c>
      <x:c r="E13" s="55" t="str">
        <x:v>山地住宅、铁路与生活空间</x:v>
      </x:c>
      <x:c r="F13" s="55" t="str">
        <x:v>深度推荐</x:v>
      </x:c>
      <x:c r="G13" s="55" t="str">
        <x:v>建筑/摄影/背包客</x:v>
      </x:c>
      <x:c r="H13" s="55" t="str">
        <x:v>观察性强，但必须尊重居民；不把住宅楼当无边界影棚。</x:v>
      </x:c>
      <x:c r="I13" s="66" t="n">
        <x:v>5</x:v>
      </x:c>
      <x:c r="J13" s="66" t="n">
        <x:v>5</x:v>
      </x:c>
      <x:c r="K13" s="66" t="n">
        <x:v>4</x:v>
      </x:c>
      <x:c r="L13" s="66" t="n">
        <x:v>3</x:v>
      </x:c>
      <x:c r="M13" s="66" t="n">
        <x:v>4</x:v>
      </x:c>
      <x:c r="N13" s="69" t="n">
        <x:f>ROUND((I13*25+J13*25+K13*20+L13*20+(6-M13)*10)/5,0)</x:f>
        <x:v>82</x:v>
      </x:c>
      <x:c r="O13" s="66" t="n">
        <x:v>2</x:v>
      </x:c>
      <x:c r="P13" s="66" t="n">
        <x:v>3</x:v>
      </x:c>
      <x:c r="Q13" s="66" t="n">
        <x:v>2</x:v>
      </x:c>
      <x:c r="R13" s="66" t="n">
        <x:v>0</x:v>
      </x:c>
      <x:c r="S13" s="69" t="n">
        <x:f>ROUND((O13*35+P13*25+Q13*20+IF(R13=1,5,2)*20)/5,0)</x:f>
        <x:v>45</x:v>
      </x:c>
      <x:c r="T13" s="55" t="str">
        <x:f>IF(S13&gt;=85,"A",IF(S13&gt;=70,"B",IF(S13&gt;=50,"C","D")))</x:f>
        <x:v>D</x:v>
      </x:c>
      <x:c r="U13" s="55" t="str">
        <x:v>45—75分钟</x:v>
      </x:c>
      <x:c r="V13" s="55" t="str">
        <x:v>高；台阶</x:v>
      </x:c>
      <x:c r="W13" s="55" t="str">
        <x:v>白天非通勤时段</x:v>
      </x:c>
      <x:c r="X13" s="55" t="str">
        <x:v>社区开放边界待核验</x:v>
      </x:c>
      <x:c r="Y13" s="55" t="str">
        <x:v>免费</x:v>
      </x:c>
      <x:c r="Z13" s="55" t="str">
        <x:v>无英文服务</x:v>
      </x:c>
      <x:c r="AA13" s="55" t="str">
        <x:v>雨天不推荐</x:v>
      </x:c>
      <x:c r="AB13" s="55" t="str">
        <x:v>社区扰民、错误机位、消防通道</x:v>
      </x:c>
      <x:c r="AC13" s="55" t="str">
        <x:v>https://cq.gov.cn/ywdt/bmts/202501/t20250123_14203069.html</x:v>
      </x:c>
      <x:c r="AD13" s="55" t="str">
        <x:v>https://www.reddit.com/r/travelchina/comments/1oxtmu6/im_a_local_in_chongqing_here_to_answer_your/</x:v>
      </x:c>
      <x:c r="AE13" s="72" t="n">
        <x:v>46231</x:v>
      </x:c>
      <x:c r="AF13" s="55" t="str">
        <x:v>实地核验</x:v>
      </x:c>
    </x:row>
    <x:row r="14">
      <x:c r="A14" s="55" t="str">
        <x:v>CQ009</x:v>
      </x:c>
      <x:c r="B14" s="55" t="str">
        <x:v>山城巷/山城步道</x:v>
      </x:c>
      <x:c r="C14" s="55" t="str">
        <x:v>渝中区</x:v>
      </x:c>
      <x:c r="D14" s="55" t="str">
        <x:v>城市步行</x:v>
      </x:c>
      <x:c r="E14" s="55" t="str">
        <x:v>城墙、坡坎、社区与长江视角</x:v>
      </x:c>
      <x:c r="F14" s="55" t="str">
        <x:v>必去核心</x:v>
      </x:c>
      <x:c r="G14" s="55" t="str">
        <x:v>背包客/城市观察/摄影</x:v>
      </x:c>
      <x:c r="H14" s="55" t="str">
        <x:v>最能把地形、历史和日常生活连成一条线；需明确上/下行方向。</x:v>
      </x:c>
      <x:c r="I14" s="66" t="n">
        <x:v>5</x:v>
      </x:c>
      <x:c r="J14" s="66" t="n">
        <x:v>5</x:v>
      </x:c>
      <x:c r="K14" s="66" t="n">
        <x:v>5</x:v>
      </x:c>
      <x:c r="L14" s="66" t="n">
        <x:v>3</x:v>
      </x:c>
      <x:c r="M14" s="66" t="n">
        <x:v>4</x:v>
      </x:c>
      <x:c r="N14" s="69" t="n">
        <x:f>ROUND((I14*25+J14*25+K14*20+L14*20+(6-M14)*10)/5,0)</x:f>
        <x:v>86</x:v>
      </x:c>
      <x:c r="O14" s="66" t="n">
        <x:v>3</x:v>
      </x:c>
      <x:c r="P14" s="66" t="n">
        <x:v>5</x:v>
      </x:c>
      <x:c r="Q14" s="66" t="n">
        <x:v>3</x:v>
      </x:c>
      <x:c r="R14" s="66" t="n">
        <x:v>0</x:v>
      </x:c>
      <x:c r="S14" s="69" t="n">
        <x:f>ROUND((O14*35+P14*25+Q14*20+IF(R14=1,5,2)*20)/5,0)</x:f>
        <x:v>66</x:v>
      </x:c>
      <x:c r="T14" s="55" t="str">
        <x:f>IF(S14&gt;=85,"A",IF(S14&gt;=70,"B",IF(S14&gt;=50,"C","D")))</x:f>
        <x:v>C</x:v>
      </x:c>
      <x:c r="U14" s="55" t="str">
        <x:v>2—3小时</x:v>
      </x:c>
      <x:c r="V14" s="55" t="str">
        <x:v>高；大量坡道台阶</x:v>
      </x:c>
      <x:c r="W14" s="55" t="str">
        <x:v>上午或下午早段</x:v>
      </x:c>
      <x:c r="X14" s="55" t="str">
        <x:v>开放街区</x:v>
      </x:c>
      <x:c r="Y14" s="55" t="str">
        <x:v>免费</x:v>
      </x:c>
      <x:c r="Z14" s="55" t="str">
        <x:v>无统一英文导览</x:v>
      </x:c>
      <x:c r="AA14" s="55" t="str">
        <x:v>雨天使用低体力替代</x:v>
      </x:c>
      <x:c r="AB14" s="55" t="str">
        <x:v>入口与高差容易走错；不适合轮椅</x:v>
      </x:c>
      <x:c r="AC14" s="55" t="str">
        <x:v>https://www.reddit.com/r/travelchina/comments/1v4olqp/thoughts_on_my_chongqing_itinerary/</x:v>
      </x:c>
      <x:c r="AD14" s="55" t="str">
        <x:v>https://www.yedutrip.com/yedushop/p/chongqing-walking-tour</x:v>
      </x:c>
      <x:c r="AE14" s="72" t="n">
        <x:v>46231</x:v>
      </x:c>
      <x:c r="AF14" s="55" t="str">
        <x:v>实地核验</x:v>
      </x:c>
    </x:row>
    <x:row r="15">
      <x:c r="A15" s="55" t="str">
        <x:v>CQ010</x:v>
      </x:c>
      <x:c r="B15" s="55" t="str">
        <x:v>十八梯传统风貌区</x:v>
      </x:c>
      <x:c r="C15" s="55" t="str">
        <x:v>渝中区</x:v>
      </x:c>
      <x:c r="D15" s="55" t="str">
        <x:v>历史街区/商业</x:v>
      </x:c>
      <x:c r="E15" s="55" t="str">
        <x:v>母城下半城与城市更新</x:v>
      </x:c>
      <x:c r="F15" s="55" t="str">
        <x:v>只顺路</x:v>
      </x:c>
      <x:c r="G15" s="55" t="str">
        <x:v>首次来渝/低研究门槛</x:v>
      </x:c>
      <x:c r="H15" s="55" t="str">
        <x:v>与下浩里等内容重叠且商业化较强；作为连接节点，不占完整时段。</x:v>
      </x:c>
      <x:c r="I15" s="66" t="n">
        <x:v>3</x:v>
      </x:c>
      <x:c r="J15" s="66" t="n">
        <x:v>3</x:v>
      </x:c>
      <x:c r="K15" s="66" t="n">
        <x:v>4</x:v>
      </x:c>
      <x:c r="L15" s="66" t="n">
        <x:v>5</x:v>
      </x:c>
      <x:c r="M15" s="66" t="n">
        <x:v>3</x:v>
      </x:c>
      <x:c r="N15" s="69" t="n">
        <x:f>ROUND((I15*25+J15*25+K15*20+L15*20+(6-M15)*10)/5,0)</x:f>
        <x:v>72</x:v>
      </x:c>
      <x:c r="O15" s="66" t="n">
        <x:v>5</x:v>
      </x:c>
      <x:c r="P15" s="66" t="n">
        <x:v>5</x:v>
      </x:c>
      <x:c r="Q15" s="66" t="n">
        <x:v>4</x:v>
      </x:c>
      <x:c r="R15" s="66" t="n">
        <x:v>0</x:v>
      </x:c>
      <x:c r="S15" s="69" t="n">
        <x:f>ROUND((O15*35+P15*25+Q15*20+IF(R15=1,5,2)*20)/5,0)</x:f>
        <x:v>84</x:v>
      </x:c>
      <x:c r="T15" s="55" t="str">
        <x:f>IF(S15&gt;=85,"A",IF(S15&gt;=70,"B",IF(S15&gt;=50,"C","D")))</x:f>
        <x:v>B</x:v>
      </x:c>
      <x:c r="U15" s="55" t="str">
        <x:v>30—45分钟</x:v>
      </x:c>
      <x:c r="V15" s="55" t="str">
        <x:v>中；台阶</x:v>
      </x:c>
      <x:c r="W15" s="55" t="str">
        <x:v>平日白天</x:v>
      </x:c>
      <x:c r="X15" s="55" t="str">
        <x:v>开放街区</x:v>
      </x:c>
      <x:c r="Y15" s="55" t="str">
        <x:v>移动支付/现金</x:v>
      </x:c>
      <x:c r="Z15" s="55" t="str">
        <x:v>标识较好</x:v>
      </x:c>
      <x:c r="AA15" s="55" t="str">
        <x:v>雨天可短停</x:v>
      </x:c>
      <x:c r="AB15" s="55" t="str">
        <x:v>同质商业、节假日人流</x:v>
      </x:c>
      <x:c r="AC15" s="55" t="str">
        <x:v>https://www.cq.gov.cn/zwgk/zfxxgkml/zdlyxxgk/ggwh/ly/zxdt/202408/t20240816_13513807.html</x:v>
      </x:c>
      <x:c r="AD15" s="55" t="str">
        <x:v>https://www.reddit.com/r/travelchina/comments/1v4olqp/thoughts_on_my_chongqing_itinerary/</x:v>
      </x:c>
      <x:c r="AE15" s="72" t="n">
        <x:v>46231</x:v>
      </x:c>
      <x:c r="AF15" s="55" t="str">
        <x:v>实地核验</x:v>
      </x:c>
    </x:row>
    <x:row r="16">
      <x:c r="A16" s="55" t="str">
        <x:v>CQ011</x:v>
      </x:c>
      <x:c r="B16" s="55" t="str">
        <x:v>重庆中国三峡博物馆</x:v>
      </x:c>
      <x:c r="C16" s="55" t="str">
        <x:v>渝中区</x:v>
      </x:c>
      <x:c r="D16" s="55" t="str">
        <x:v>博物馆</x:v>
      </x:c>
      <x:c r="E16" s="55" t="str">
        <x:v>巴渝、三峡与重庆城市史</x:v>
      </x:c>
      <x:c r="F16" s="55" t="str">
        <x:v>必去核心</x:v>
      </x:c>
      <x:c r="G16" s="55" t="str">
        <x:v>首次来渝/文化/亲子</x:v>
      </x:c>
      <x:c r="H16" s="55" t="str">
        <x:v>为后续街区与江河路线建立认知框架；不是可删的普通博物馆。</x:v>
      </x:c>
      <x:c r="I16" s="66" t="n">
        <x:v>5</x:v>
      </x:c>
      <x:c r="J16" s="66" t="n">
        <x:v>5</x:v>
      </x:c>
      <x:c r="K16" s="66" t="n">
        <x:v>4</x:v>
      </x:c>
      <x:c r="L16" s="66" t="n">
        <x:v>5</x:v>
      </x:c>
      <x:c r="M16" s="66" t="n">
        <x:v>1</x:v>
      </x:c>
      <x:c r="N16" s="69" t="n">
        <x:f>ROUND((I16*25+J16*25+K16*20+L16*20+(6-M16)*10)/5,0)</x:f>
        <x:v>96</x:v>
      </x:c>
      <x:c r="O16" s="66" t="n">
        <x:v>5</x:v>
      </x:c>
      <x:c r="P16" s="66" t="n">
        <x:v>5</x:v>
      </x:c>
      <x:c r="Q16" s="66" t="n">
        <x:v>5</x:v>
      </x:c>
      <x:c r="R16" s="66" t="n">
        <x:v>0</x:v>
      </x:c>
      <x:c r="S16" s="69" t="n">
        <x:f>ROUND((O16*35+P16*25+Q16*20+IF(R16=1,5,2)*20)/5,0)</x:f>
        <x:v>88</x:v>
      </x:c>
      <x:c r="T16" s="55" t="str">
        <x:f>IF(S16&gt;=85,"A",IF(S16&gt;=70,"B",IF(S16&gt;=50,"C","D")))</x:f>
        <x:v>A</x:v>
      </x:c>
      <x:c r="U16" s="55" t="str">
        <x:v>2—3小时</x:v>
      </x:c>
      <x:c r="V16" s="55" t="str">
        <x:v>低</x:v>
      </x:c>
      <x:c r="W16" s="55" t="str">
        <x:v>开馆即入</x:v>
      </x:c>
      <x:c r="X16" s="55" t="str">
        <x:v>2025-10起免预约，凭有效证件；节假日需复核</x:v>
      </x:c>
      <x:c r="Y16" s="55" t="str">
        <x:v>免费；带护照</x:v>
      </x:c>
      <x:c r="Z16" s="55" t="str">
        <x:v>有英文页面，馆内覆盖待核验</x:v>
      </x:c>
      <x:c r="AA16" s="55" t="str">
        <x:v>最佳雨天主项目</x:v>
      </x:c>
      <x:c r="AB16" s="55" t="str">
        <x:v>周一闭馆/临时展览变化</x:v>
      </x:c>
      <x:c r="AC16" s="55" t="str">
        <x:v>https://www.3gmuseum.cn/web/article/1430010139317059584/web/content_1430010139317059584.html</x:v>
      </x:c>
      <x:c r="AD16" s="55" t="str">
        <x:v>https://www.cq.gov.cn/zwgk/zfxxgkml/szfwj/qtgw/202607/t20260710_15814399_app.html</x:v>
      </x:c>
      <x:c r="AE16" s="72" t="n">
        <x:v>46231</x:v>
      </x:c>
      <x:c r="AF16" s="55" t="str">
        <x:v>实地核验</x:v>
      </x:c>
    </x:row>
    <x:row r="17">
      <x:c r="A17" s="55" t="str">
        <x:v>CQ012</x:v>
      </x:c>
      <x:c r="B17" s="55" t="str">
        <x:v>人民大礼堂外观</x:v>
      </x:c>
      <x:c r="C17" s="55" t="str">
        <x:v>渝中区</x:v>
      </x:c>
      <x:c r="D17" s="55" t="str">
        <x:v>建筑地标</x:v>
      </x:c>
      <x:c r="E17" s="55" t="str">
        <x:v>20世纪城市象征与公共建筑</x:v>
      </x:c>
      <x:c r="F17" s="55" t="str">
        <x:v>只顺路</x:v>
      </x:c>
      <x:c r="G17" s="55" t="str">
        <x:v>建筑/摄影</x:v>
      </x:c>
      <x:c r="H17" s="55" t="str">
        <x:v>与三峡博物馆组合，外观20分钟足够；不单独拉时段。</x:v>
      </x:c>
      <x:c r="I17" s="66" t="n">
        <x:v>3</x:v>
      </x:c>
      <x:c r="J17" s="66" t="n">
        <x:v>4</x:v>
      </x:c>
      <x:c r="K17" s="66" t="n">
        <x:v>5</x:v>
      </x:c>
      <x:c r="L17" s="66" t="n">
        <x:v>5</x:v>
      </x:c>
      <x:c r="M17" s="66" t="n">
        <x:v>1</x:v>
      </x:c>
      <x:c r="N17" s="69" t="n">
        <x:f>ROUND((I17*25+J17*25+K17*20+L17*20+(6-M17)*10)/5,0)</x:f>
        <x:v>85</x:v>
      </x:c>
      <x:c r="O17" s="66" t="n">
        <x:v>4</x:v>
      </x:c>
      <x:c r="P17" s="66" t="n">
        <x:v>4</x:v>
      </x:c>
      <x:c r="Q17" s="66" t="n">
        <x:v>3</x:v>
      </x:c>
      <x:c r="R17" s="66" t="n">
        <x:v>0</x:v>
      </x:c>
      <x:c r="S17" s="69" t="n">
        <x:f>ROUND((O17*35+P17*25+Q17*20+IF(R17=1,5,2)*20)/5,0)</x:f>
        <x:v>68</x:v>
      </x:c>
      <x:c r="T17" s="55" t="str">
        <x:f>IF(S17&gt;=85,"A",IF(S17&gt;=70,"B",IF(S17&gt;=50,"C","D")))</x:f>
        <x:v>C</x:v>
      </x:c>
      <x:c r="U17" s="55" t="str">
        <x:v>20—30分钟</x:v>
      </x:c>
      <x:c r="V17" s="55" t="str">
        <x:v>低</x:v>
      </x:c>
      <x:c r="W17" s="55" t="str">
        <x:v>博物馆前后</x:v>
      </x:c>
      <x:c r="X17" s="55" t="str">
        <x:v>外观开放</x:v>
      </x:c>
      <x:c r="Y17" s="55" t="str">
        <x:v>免费</x:v>
      </x:c>
      <x:c r="Z17" s="55" t="str">
        <x:v>无需服务</x:v>
      </x:c>
      <x:c r="AA17" s="55" t="str">
        <x:v>雨天外观短停</x:v>
      </x:c>
      <x:c r="AB17" s="55" t="str">
        <x:v>活动封控</x:v>
      </x:c>
      <x:c r="AC17" s="55" t="str">
        <x:v>https://www.3gmuseum.cn/web/article/1430010139317059584/web/content_1430010139317059584.html</x:v>
      </x:c>
      <x:c r="AD17" s="55" t="str">
        <x:v>https://www.reddit.com/r/travelchina/comments/1v4olqp/thoughts_on_my_chongqing_itinerary/</x:v>
      </x:c>
      <x:c r="AE17" s="72" t="n">
        <x:v>46231</x:v>
      </x:c>
      <x:c r="AF17" s="55" t="str">
        <x:v>实地核验</x:v>
      </x:c>
    </x:row>
    <x:row r="18">
      <x:c r="A18" s="55" t="str">
        <x:v>CQ013</x:v>
      </x:c>
      <x:c r="B18" s="55" t="str">
        <x:v>中山四路</x:v>
      </x:c>
      <x:c r="C18" s="55" t="str">
        <x:v>渝中区</x:v>
      </x:c>
      <x:c r="D18" s="55" t="str">
        <x:v>历史街道</x:v>
      </x:c>
      <x:c r="E18" s="55" t="str">
        <x:v>抗战、外交与近代城市记忆</x:v>
      </x:c>
      <x:c r="F18" s="55" t="str">
        <x:v>深度推荐</x:v>
      </x:c>
      <x:c r="G18" s="55" t="str">
        <x:v>历史/城市步行</x:v>
      </x:c>
      <x:c r="H18" s="55" t="str">
        <x:v>安静、叙事密度高，可与博物馆串联；需要高质量英文解释。</x:v>
      </x:c>
      <x:c r="I18" s="66" t="n">
        <x:v>4</x:v>
      </x:c>
      <x:c r="J18" s="66" t="n">
        <x:v>5</x:v>
      </x:c>
      <x:c r="K18" s="66" t="n">
        <x:v>5</x:v>
      </x:c>
      <x:c r="L18" s="66" t="n">
        <x:v>4</x:v>
      </x:c>
      <x:c r="M18" s="66" t="n">
        <x:v>1</x:v>
      </x:c>
      <x:c r="N18" s="69" t="n">
        <x:f>ROUND((I18*25+J18*25+K18*20+L18*20+(6-M18)*10)/5,0)</x:f>
        <x:v>91</x:v>
      </x:c>
      <x:c r="O18" s="66" t="n">
        <x:v>3</x:v>
      </x:c>
      <x:c r="P18" s="66" t="n">
        <x:v>4</x:v>
      </x:c>
      <x:c r="Q18" s="66" t="n">
        <x:v>3</x:v>
      </x:c>
      <x:c r="R18" s="66" t="n">
        <x:v>0</x:v>
      </x:c>
      <x:c r="S18" s="69" t="n">
        <x:f>ROUND((O18*35+P18*25+Q18*20+IF(R18=1,5,2)*20)/5,0)</x:f>
        <x:v>61</x:v>
      </x:c>
      <x:c r="T18" s="55" t="str">
        <x:f>IF(S18&gt;=85,"A",IF(S18&gt;=70,"B",IF(S18&gt;=50,"C","D")))</x:f>
        <x:v>C</x:v>
      </x:c>
      <x:c r="U18" s="55" t="str">
        <x:v>60—90分钟</x:v>
      </x:c>
      <x:c r="V18" s="55" t="str">
        <x:v>低</x:v>
      </x:c>
      <x:c r="W18" s="55" t="str">
        <x:v>工作日下午</x:v>
      </x:c>
      <x:c r="X18" s="55" t="str">
        <x:v>开放街道；场馆另核验</x:v>
      </x:c>
      <x:c r="Y18" s="55" t="str">
        <x:v>免费</x:v>
      </x:c>
      <x:c r="Z18" s="55" t="str">
        <x:v>英文解释需自带</x:v>
      </x:c>
      <x:c r="AA18" s="55" t="str">
        <x:v>雨天可步行缩短</x:v>
      </x:c>
      <x:c r="AB18" s="55" t="str">
        <x:v>没有讲解容易变普通街景</x:v>
      </x:c>
      <x:c r="AC18" s="55" t="str">
        <x:v>https://www.reddit.com/r/travelchina/comments/1rotlj9/is_chongqing_just_a_night_city_what_to_do_during/</x:v>
      </x:c>
      <x:c r="AD18" s="55" t="str">
        <x:v>https://www.cq.gov.cn/zwgk/zfxxgkml/szfwj/qtgw/202607/t20260710_15814399_app.html</x:v>
      </x:c>
      <x:c r="AE18" s="72" t="n">
        <x:v>46231</x:v>
      </x:c>
      <x:c r="AF18" s="55" t="str">
        <x:v>实地核验</x:v>
      </x:c>
    </x:row>
    <x:row r="19">
      <x:c r="A19" s="55" t="str">
        <x:v>CQ014</x:v>
      </x:c>
      <x:c r="B19" s="55" t="str">
        <x:v>李子坝轨道穿楼（含2号线乘坐）</x:v>
      </x:c>
      <x:c r="C19" s="55" t="str">
        <x:v>渝中区</x:v>
      </x:c>
      <x:c r="D19" s="55" t="str">
        <x:v>交通/城市空间</x:v>
      </x:c>
      <x:c r="E19" s="55" t="str">
        <x:v>单轨、山地交通与住宅共生</x:v>
      </x:c>
      <x:c r="F19" s="55" t="str">
        <x:v>必去核心</x:v>
      </x:c>
      <x:c r="G19" s="55" t="str">
        <x:v>首次来渝/亲子/交通迷</x:v>
      </x:c>
      <x:c r="H19" s="55" t="str">
        <x:v>应把乘坐2号线作为体验主体，观景台仅短停，避免排队式打卡。</x:v>
      </x:c>
      <x:c r="I19" s="66" t="n">
        <x:v>5</x:v>
      </x:c>
      <x:c r="J19" s="66" t="n">
        <x:v>5</x:v>
      </x:c>
      <x:c r="K19" s="66" t="n">
        <x:v>5</x:v>
      </x:c>
      <x:c r="L19" s="66" t="n">
        <x:v>5</x:v>
      </x:c>
      <x:c r="M19" s="66" t="n">
        <x:v>2</x:v>
      </x:c>
      <x:c r="N19" s="69" t="n">
        <x:f>ROUND((I19*25+J19*25+K19*20+L19*20+(6-M19)*10)/5,0)</x:f>
        <x:v>98</x:v>
      </x:c>
      <x:c r="O19" s="66" t="n">
        <x:v>5</x:v>
      </x:c>
      <x:c r="P19" s="66" t="n">
        <x:v>5</x:v>
      </x:c>
      <x:c r="Q19" s="66" t="n">
        <x:v>5</x:v>
      </x:c>
      <x:c r="R19" s="66" t="n">
        <x:v>0</x:v>
      </x:c>
      <x:c r="S19" s="69" t="n">
        <x:f>ROUND((O19*35+P19*25+Q19*20+IF(R19=1,5,2)*20)/5,0)</x:f>
        <x:v>88</x:v>
      </x:c>
      <x:c r="T19" s="55" t="str">
        <x:f>IF(S19&gt;=85,"A",IF(S19&gt;=70,"B",IF(S19&gt;=50,"C","D")))</x:f>
        <x:v>A</x:v>
      </x:c>
      <x:c r="U19" s="55" t="str">
        <x:v>45—75分钟</x:v>
      </x:c>
      <x:c r="V19" s="55" t="str">
        <x:v>低—中</x:v>
      </x:c>
      <x:c r="W19" s="55" t="str">
        <x:v>非高峰白天</x:v>
      </x:c>
      <x:c r="X19" s="55" t="str">
        <x:v>轨道正常购票</x:v>
      </x:c>
      <x:c r="Y19" s="55" t="str">
        <x:v>交通码/单程票/现金</x:v>
      </x:c>
      <x:c r="Z19" s="55" t="str">
        <x:v>中英标识</x:v>
      </x:c>
      <x:c r="AA19" s="55" t="str">
        <x:v>雨天仍可乘坐</x:v>
      </x:c>
      <x:c r="AB19" s="55" t="str">
        <x:v>高峰拥挤、只在观景台拍照过浅</x:v>
      </x:c>
      <x:c r="AC19" s="55" t="str">
        <x:v>https://jtj.cq.gov.cn/zwgk_240/zfxxgkml/gggs/tzgg/202603/t20260302_15481715.html</x:v>
      </x:c>
      <x:c r="AD19" s="55" t="str">
        <x:v>https://www.reddit.com/r/chinatravel/comments/1uv133a/first_time_in_china_solo_traveling/</x:v>
      </x:c>
      <x:c r="AE19" s="72" t="n">
        <x:v>46231</x:v>
      </x:c>
      <x:c r="AF19" s="55" t="str">
        <x:v>实地核验</x:v>
      </x:c>
    </x:row>
    <x:row r="20">
      <x:c r="A20" s="55" t="str">
        <x:v>CQ015</x:v>
      </x:c>
      <x:c r="B20" s="55" t="str">
        <x:v>鹅岭公园</x:v>
      </x:c>
      <x:c r="C20" s="55" t="str">
        <x:v>渝中区</x:v>
      </x:c>
      <x:c r="D20" s="55" t="str">
        <x:v>公园/视点</x:v>
      </x:c>
      <x:c r="E20" s="55" t="str">
        <x:v>两江地形与本地公共生活</x:v>
      </x:c>
      <x:c r="F20" s="55" t="str">
        <x:v>深度推荐</x:v>
      </x:c>
      <x:c r="G20" s="55" t="str">
        <x:v>城市观察/摄影/慢旅行</x:v>
      </x:c>
      <x:c r="H20" s="55" t="str">
        <x:v>白天理解城市地形，夜间可替代热门观景台；与李子坝顺路。</x:v>
      </x:c>
      <x:c r="I20" s="66" t="n">
        <x:v>4</x:v>
      </x:c>
      <x:c r="J20" s="66" t="n">
        <x:v>4</x:v>
      </x:c>
      <x:c r="K20" s="66" t="n">
        <x:v>5</x:v>
      </x:c>
      <x:c r="L20" s="66" t="n">
        <x:v>4</x:v>
      </x:c>
      <x:c r="M20" s="66" t="n">
        <x:v>2</x:v>
      </x:c>
      <x:c r="N20" s="69" t="n">
        <x:f>ROUND((I20*25+J20*25+K20*20+L20*20+(6-M20)*10)/5,0)</x:f>
        <x:v>84</x:v>
      </x:c>
      <x:c r="O20" s="66" t="n">
        <x:v>3</x:v>
      </x:c>
      <x:c r="P20" s="66" t="n">
        <x:v>4</x:v>
      </x:c>
      <x:c r="Q20" s="66" t="n">
        <x:v>3</x:v>
      </x:c>
      <x:c r="R20" s="66" t="n">
        <x:v>0</x:v>
      </x:c>
      <x:c r="S20" s="69" t="n">
        <x:f>ROUND((O20*35+P20*25+Q20*20+IF(R20=1,5,2)*20)/5,0)</x:f>
        <x:v>61</x:v>
      </x:c>
      <x:c r="T20" s="55" t="str">
        <x:f>IF(S20&gt;=85,"A",IF(S20&gt;=70,"B",IF(S20&gt;=50,"C","D")))</x:f>
        <x:v>C</x:v>
      </x:c>
      <x:c r="U20" s="55" t="str">
        <x:v>60—90分钟</x:v>
      </x:c>
      <x:c r="V20" s="55" t="str">
        <x:v>中；坡道</x:v>
      </x:c>
      <x:c r="W20" s="55" t="str">
        <x:v>上午或日落</x:v>
      </x:c>
      <x:c r="X20" s="55" t="str">
        <x:v>公园开放信息需核验</x:v>
      </x:c>
      <x:c r="Y20" s="55" t="str">
        <x:v>免费/塔楼待核验</x:v>
      </x:c>
      <x:c r="Z20" s="55" t="str">
        <x:v>无统一英文服务</x:v>
      </x:c>
      <x:c r="AA20" s="55" t="str">
        <x:v>小雨可用，暴雨不宜</x:v>
      </x:c>
      <x:c r="AB20" s="55" t="str">
        <x:v>能见度、塔楼开放</x:v>
      </x:c>
      <x:c r="AC20" s="55" t="str">
        <x:v>https://www.reddit.com/r/travelchina/comments/1rotlj9/is_chongqing_just_a_night_city_what_to_do_during/</x:v>
      </x:c>
      <x:c r="AD20" s="55" t="str">
        <x:v>https://www.reddit.com/r/travelchina/comments/1v4olqp/thoughts_on_my_chongqing_itinerary/</x:v>
      </x:c>
      <x:c r="AE20" s="72" t="n">
        <x:v>46231</x:v>
      </x:c>
      <x:c r="AF20" s="55" t="str">
        <x:v>实地核验</x:v>
      </x:c>
    </x:row>
    <x:row r="21">
      <x:c r="A21" s="55" t="str">
        <x:v>CQ016</x:v>
      </x:c>
      <x:c r="B21" s="55" t="str">
        <x:v>TESTBED2 鹅岭二厂</x:v>
      </x:c>
      <x:c r="C21" s="55" t="str">
        <x:v>渝中区</x:v>
      </x:c>
      <x:c r="D21" s="55" t="str">
        <x:v>创意园/商业</x:v>
      </x:c>
      <x:c r="E21" s="55" t="str">
        <x:v>工业遗存与文创更新</x:v>
      </x:c>
      <x:c r="F21" s="55" t="str">
        <x:v>只顺路</x:v>
      </x:c>
      <x:c r="G21" s="55" t="str">
        <x:v>摄影/年轻游客</x:v>
      </x:c>
      <x:c r="H21" s="55" t="str">
        <x:v>与鹅岭公园相邻可短停；商业化强，不作为深度主节点。</x:v>
      </x:c>
      <x:c r="I21" s="66" t="n">
        <x:v>3</x:v>
      </x:c>
      <x:c r="J21" s="66" t="n">
        <x:v>2</x:v>
      </x:c>
      <x:c r="K21" s="66" t="n">
        <x:v>5</x:v>
      </x:c>
      <x:c r="L21" s="66" t="n">
        <x:v>5</x:v>
      </x:c>
      <x:c r="M21" s="66" t="n">
        <x:v>2</x:v>
      </x:c>
      <x:c r="N21" s="69" t="n">
        <x:f>ROUND((I21*25+J21*25+K21*20+L21*20+(6-M21)*10)/5,0)</x:f>
        <x:v>73</x:v>
      </x:c>
      <x:c r="O21" s="66" t="n">
        <x:v>2</x:v>
      </x:c>
      <x:c r="P21" s="66" t="n">
        <x:v>4</x:v>
      </x:c>
      <x:c r="Q21" s="66" t="n">
        <x:v>3</x:v>
      </x:c>
      <x:c r="R21" s="66" t="n">
        <x:v>0</x:v>
      </x:c>
      <x:c r="S21" s="69" t="n">
        <x:f>ROUND((O21*35+P21*25+Q21*20+IF(R21=1,5,2)*20)/5,0)</x:f>
        <x:v>54</x:v>
      </x:c>
      <x:c r="T21" s="55" t="str">
        <x:f>IF(S21&gt;=85,"A",IF(S21&gt;=70,"B",IF(S21&gt;=50,"C","D")))</x:f>
        <x:v>C</x:v>
      </x:c>
      <x:c r="U21" s="55" t="str">
        <x:v>30—45分钟</x:v>
      </x:c>
      <x:c r="V21" s="55" t="str">
        <x:v>中</x:v>
      </x:c>
      <x:c r="W21" s="55" t="str">
        <x:v>平日下午</x:v>
      </x:c>
      <x:c r="X21" s="55" t="str">
        <x:v>开放园区</x:v>
      </x:c>
      <x:c r="Y21" s="55" t="str">
        <x:v>移动支付</x:v>
      </x:c>
      <x:c r="Z21" s="55" t="str">
        <x:v>部分商户可英文沟通</x:v>
      </x:c>
      <x:c r="AA21" s="55" t="str">
        <x:v>雨天可进店</x:v>
      </x:c>
      <x:c r="AB21" s="55" t="str">
        <x:v>商业同质化、影视滤镜噪音</x:v>
      </x:c>
      <x:c r="AC21" s="55" t="str">
        <x:v>https://www.reddit.com/r/travelchina/comments/1rotlj9/is_chongqing_just_a_night_city_what_to_do_during/</x:v>
      </x:c>
      <x:c r="AD21" s="55" t="str">
        <x:v>https://www.reddit.com/r/travelchina/comments/1v4olqp/thoughts_on_my_chongqing_itinerary/</x:v>
      </x:c>
      <x:c r="AE21" s="72" t="n">
        <x:v>46231</x:v>
      </x:c>
      <x:c r="AF21" s="55" t="str">
        <x:v>实地核验</x:v>
      </x:c>
    </x:row>
    <x:row r="22">
      <x:c r="A22" s="55" t="str">
        <x:v>CQ017</x:v>
      </x:c>
      <x:c r="B22" s="55" t="str">
        <x:v>黄桷坪涂鸦街</x:v>
      </x:c>
      <x:c r="C22" s="55" t="str">
        <x:v>九龙坡区</x:v>
      </x:c>
      <x:c r="D22" s="55" t="str">
        <x:v>艺术街区</x:v>
      </x:c>
      <x:c r="E22" s="55" t="str">
        <x:v>学院艺术、城市更新与社区</x:v>
      </x:c>
      <x:c r="F22" s="55" t="str">
        <x:v>深度推荐</x:v>
      </x:c>
      <x:c r="G22" s="55" t="str">
        <x:v>艺术/摄影/年轻游客</x:v>
      </x:c>
      <x:c r="H22" s="55" t="str">
        <x:v>与交通茶馆和川美组合后才有产品价值；单独看墙不够。</x:v>
      </x:c>
      <x:c r="I22" s="66" t="n">
        <x:v>4</x:v>
      </x:c>
      <x:c r="J22" s="66" t="n">
        <x:v>4</x:v>
      </x:c>
      <x:c r="K22" s="66" t="n">
        <x:v>5</x:v>
      </x:c>
      <x:c r="L22" s="66" t="n">
        <x:v>4</x:v>
      </x:c>
      <x:c r="M22" s="66" t="n">
        <x:v>2</x:v>
      </x:c>
      <x:c r="N22" s="69" t="n">
        <x:f>ROUND((I22*25+J22*25+K22*20+L22*20+(6-M22)*10)/5,0)</x:f>
        <x:v>84</x:v>
      </x:c>
      <x:c r="O22" s="66" t="n">
        <x:v>2</x:v>
      </x:c>
      <x:c r="P22" s="66" t="n">
        <x:v>4</x:v>
      </x:c>
      <x:c r="Q22" s="66" t="n">
        <x:v>3</x:v>
      </x:c>
      <x:c r="R22" s="66" t="n">
        <x:v>0</x:v>
      </x:c>
      <x:c r="S22" s="69" t="n">
        <x:f>ROUND((O22*35+P22*25+Q22*20+IF(R22=1,5,2)*20)/5,0)</x:f>
        <x:v>54</x:v>
      </x:c>
      <x:c r="T22" s="55" t="str">
        <x:f>IF(S22&gt;=85,"A",IF(S22&gt;=70,"B",IF(S22&gt;=50,"C","D")))</x:f>
        <x:v>C</x:v>
      </x:c>
      <x:c r="U22" s="55" t="str">
        <x:v>60—90分钟</x:v>
      </x:c>
      <x:c r="V22" s="55" t="str">
        <x:v>低—中</x:v>
      </x:c>
      <x:c r="W22" s="55" t="str">
        <x:v>白天</x:v>
      </x:c>
      <x:c r="X22" s="55" t="str">
        <x:v>开放街区</x:v>
      </x:c>
      <x:c r="Y22" s="55" t="str">
        <x:v>免费</x:v>
      </x:c>
      <x:c r="Z22" s="55" t="str">
        <x:v>英文解释需自带</x:v>
      </x:c>
      <x:c r="AA22" s="55" t="str">
        <x:v>小雨可用</x:v>
      </x:c>
      <x:c r="AB22" s="55" t="str">
        <x:v>涂鸦更替、部分内容陈旧</x:v>
      </x:c>
      <x:c r="AC22" s="55" t="str">
        <x:v>https://www.reddit.com/r/travelchina/comments/1v4olqp/thoughts_on_my_chongqing_itinerary/</x:v>
      </x:c>
      <x:c r="AD22" s="55" t="str">
        <x:v>https://www.reddit.com/r/travelchina/comments/1rotlj9/is_chongqing_just_a_night_city_what_to_do_during/</x:v>
      </x:c>
      <x:c r="AE22" s="72" t="n">
        <x:v>46231</x:v>
      </x:c>
      <x:c r="AF22" s="55" t="str">
        <x:v>实地核验</x:v>
      </x:c>
    </x:row>
    <x:row r="23">
      <x:c r="A23" s="55" t="str">
        <x:v>CQ018</x:v>
      </x:c>
      <x:c r="B23" s="55" t="str">
        <x:v>交通茶馆</x:v>
      </x:c>
      <x:c r="C23" s="55" t="str">
        <x:v>九龙坡区</x:v>
      </x:c>
      <x:c r="D23" s="55" t="str">
        <x:v>茶馆/社区体验</x:v>
      </x:c>
      <x:c r="E23" s="55" t="str">
        <x:v>老茶馆与重庆日常社交</x:v>
      </x:c>
      <x:c r="F23" s="55" t="str">
        <x:v>深度推荐</x:v>
      </x:c>
      <x:c r="G23" s="55" t="str">
        <x:v>文化/摄影/慢旅行</x:v>
      </x:c>
      <x:c r="H23" s="55" t="str">
        <x:v>真实生活感强，但需确认接待边界、拍摄礼仪与是否过度网红化。</x:v>
      </x:c>
      <x:c r="I23" s="66" t="n">
        <x:v>5</x:v>
      </x:c>
      <x:c r="J23" s="66" t="n">
        <x:v>5</x:v>
      </x:c>
      <x:c r="K23" s="66" t="n">
        <x:v>5</x:v>
      </x:c>
      <x:c r="L23" s="66" t="n">
        <x:v>2</x:v>
      </x:c>
      <x:c r="M23" s="66" t="n">
        <x:v>4</x:v>
      </x:c>
      <x:c r="N23" s="69" t="n">
        <x:f>ROUND((I23*25+J23*25+K23*20+L23*20+(6-M23)*10)/5,0)</x:f>
        <x:v>82</x:v>
      </x:c>
      <x:c r="O23" s="66" t="n">
        <x:v>1</x:v>
      </x:c>
      <x:c r="P23" s="66" t="n">
        <x:v>3</x:v>
      </x:c>
      <x:c r="Q23" s="66" t="n">
        <x:v>2</x:v>
      </x:c>
      <x:c r="R23" s="66" t="n">
        <x:v>0</x:v>
      </x:c>
      <x:c r="S23" s="69" t="n">
        <x:f>ROUND((O23*35+P23*25+Q23*20+IF(R23=1,5,2)*20)/5,0)</x:f>
        <x:v>38</x:v>
      </x:c>
      <x:c r="T23" s="55" t="str">
        <x:f>IF(S23&gt;=85,"A",IF(S23&gt;=70,"B",IF(S23&gt;=50,"C","D")))</x:f>
        <x:v>D</x:v>
      </x:c>
      <x:c r="U23" s="55" t="str">
        <x:v>60—90分钟</x:v>
      </x:c>
      <x:c r="V23" s="55" t="str">
        <x:v>低</x:v>
      </x:c>
      <x:c r="W23" s="55" t="str">
        <x:v>工作日上午</x:v>
      </x:c>
      <x:c r="X23" s="55" t="str">
        <x:v>现场消费</x:v>
      </x:c>
      <x:c r="Y23" s="55" t="str">
        <x:v>现金/移动支付待核验</x:v>
      </x:c>
      <x:c r="Z23" s="55" t="str">
        <x:v>无稳定英文服务</x:v>
      </x:c>
      <x:c r="AA23" s="55" t="str">
        <x:v>雨天适合</x:v>
      </x:c>
      <x:c r="AB23" s="55" t="str">
        <x:v>居民被拍摄、座位与商业拍摄冲突</x:v>
      </x:c>
      <x:c r="AC23" s="55" t="str">
        <x:v>https://www.reddit.com/r/travelchina/comments/1rotlj9/is_chongqing_just_a_night_city_what_to_do_during/</x:v>
      </x:c>
      <x:c r="AD23" s="55" t="str">
        <x:v>https://www.reddit.com/r/travelchina/comments/1oxtmu6/im_a_local_in_chongqing_here_to_answer_your/</x:v>
      </x:c>
      <x:c r="AE23" s="72" t="n">
        <x:v>46231</x:v>
      </x:c>
      <x:c r="AF23" s="55" t="str">
        <x:v>实地核验</x:v>
      </x:c>
    </x:row>
    <x:row r="24">
      <x:c r="A24" s="55" t="str">
        <x:v>CQ019</x:v>
      </x:c>
      <x:c r="B24" s="55" t="str">
        <x:v>四川美术学院黄桷坪校区周边</x:v>
      </x:c>
      <x:c r="C24" s="55" t="str">
        <x:v>九龙坡区</x:v>
      </x:c>
      <x:c r="D24" s="55" t="str">
        <x:v>艺术/校园周边</x:v>
      </x:c>
      <x:c r="E24" s="55" t="str">
        <x:v>当代艺术与城市文化</x:v>
      </x:c>
      <x:c r="F24" s="55" t="str">
        <x:v>条件推荐</x:v>
      </x:c>
      <x:c r="G24" s="55" t="str">
        <x:v>艺术专业/院校团体</x:v>
      </x:c>
      <x:c r="H24" s="55" t="str">
        <x:v>对艺术客群价值高；普通首访客只作为黄桷坪组合中的背景。</x:v>
      </x:c>
      <x:c r="I24" s="66" t="n">
        <x:v>4</x:v>
      </x:c>
      <x:c r="J24" s="66" t="n">
        <x:v>4</x:v>
      </x:c>
      <x:c r="K24" s="66" t="n">
        <x:v>5</x:v>
      </x:c>
      <x:c r="L24" s="66" t="n">
        <x:v>3</x:v>
      </x:c>
      <x:c r="M24" s="66" t="n">
        <x:v>2</x:v>
      </x:c>
      <x:c r="N24" s="69" t="n">
        <x:f>ROUND((I24*25+J24*25+K24*20+L24*20+(6-M24)*10)/5,0)</x:f>
        <x:v>80</x:v>
      </x:c>
      <x:c r="O24" s="66" t="n">
        <x:v>2</x:v>
      </x:c>
      <x:c r="P24" s="66" t="n">
        <x:v>3</x:v>
      </x:c>
      <x:c r="Q24" s="66" t="n">
        <x:v>2</x:v>
      </x:c>
      <x:c r="R24" s="66" t="n">
        <x:v>0</x:v>
      </x:c>
      <x:c r="S24" s="69" t="n">
        <x:f>ROUND((O24*35+P24*25+Q24*20+IF(R24=1,5,2)*20)/5,0)</x:f>
        <x:v>45</x:v>
      </x:c>
      <x:c r="T24" s="55" t="str">
        <x:f>IF(S24&gt;=85,"A",IF(S24&gt;=70,"B",IF(S24&gt;=50,"C","D")))</x:f>
        <x:v>D</x:v>
      </x:c>
      <x:c r="U24" s="55" t="str">
        <x:v>45—90分钟</x:v>
      </x:c>
      <x:c r="V24" s="55" t="str">
        <x:v>低</x:v>
      </x:c>
      <x:c r="W24" s="55" t="str">
        <x:v>白天</x:v>
      </x:c>
      <x:c r="X24" s="55" t="str">
        <x:v>校园访问规则待核验</x:v>
      </x:c>
      <x:c r="Y24" s="55" t="str">
        <x:v>免费</x:v>
      </x:c>
      <x:c r="Z24" s="55" t="str">
        <x:v>英文服务不稳定</x:v>
      </x:c>
      <x:c r="AA24" s="55" t="str">
        <x:v>雨天部分可用</x:v>
      </x:c>
      <x:c r="AB24" s="55" t="str">
        <x:v>校园开放边界、展览变化</x:v>
      </x:c>
      <x:c r="AC24" s="55" t="str">
        <x:v>https://www.reddit.com/r/travelchina/comments/1rotlj9/is_chongqing_just_a_night_city_what_to_do_during/</x:v>
      </x:c>
      <x:c r="AD24" s="55" t="str">
        <x:v>https://www.cq.gov.cn/zwgk/zfxxgkml/szfwj/qtgw/202607/t20260710_15814399_app.html</x:v>
      </x:c>
      <x:c r="AE24" s="72" t="n">
        <x:v>46231</x:v>
      </x:c>
      <x:c r="AF24" s="55" t="str">
        <x:v>电话核验</x:v>
      </x:c>
    </x:row>
    <x:row r="25">
      <x:c r="A25" s="55" t="str">
        <x:v>CQ020</x:v>
      </x:c>
      <x:c r="B25" s="55" t="str">
        <x:v>磁器口</x:v>
      </x:c>
      <x:c r="C25" s="55" t="str">
        <x:v>沙坪坝区</x:v>
      </x:c>
      <x:c r="D25" s="55" t="str">
        <x:v>古镇/商业</x:v>
      </x:c>
      <x:c r="E25" s="55" t="str">
        <x:v>巴渝民居、码头与非遗</x:v>
      </x:c>
      <x:c r="F25" s="55" t="str">
        <x:v>条件推荐</x:v>
      </x:c>
      <x:c r="G25" s="55" t="str">
        <x:v>亲子/首次来渝/购物</x:v>
      </x:c>
      <x:c r="H25" s="55" t="str">
        <x:v>官方文化价值明确，但主街商业化强；只在早晨或有明确非遗目标时进入。</x:v>
      </x:c>
      <x:c r="I25" s="66" t="n">
        <x:v>4</x:v>
      </x:c>
      <x:c r="J25" s="66" t="n">
        <x:v>4</x:v>
      </x:c>
      <x:c r="K25" s="66" t="n">
        <x:v>3</x:v>
      </x:c>
      <x:c r="L25" s="66" t="n">
        <x:v>5</x:v>
      </x:c>
      <x:c r="M25" s="66" t="n">
        <x:v>4</x:v>
      </x:c>
      <x:c r="N25" s="69" t="n">
        <x:f>ROUND((I25*25+J25*25+K25*20+L25*20+(6-M25)*10)/5,0)</x:f>
        <x:v>76</x:v>
      </x:c>
      <x:c r="O25" s="66" t="n">
        <x:v>5</x:v>
      </x:c>
      <x:c r="P25" s="66" t="n">
        <x:v>4</x:v>
      </x:c>
      <x:c r="Q25" s="66" t="n">
        <x:v>4</x:v>
      </x:c>
      <x:c r="R25" s="66" t="n">
        <x:v>0</x:v>
      </x:c>
      <x:c r="S25" s="69" t="n">
        <x:f>ROUND((O25*35+P25*25+Q25*20+IF(R25=1,5,2)*20)/5,0)</x:f>
        <x:v>79</x:v>
      </x:c>
      <x:c r="T25" s="55" t="str">
        <x:f>IF(S25&gt;=85,"A",IF(S25&gt;=70,"B",IF(S25&gt;=50,"C","D")))</x:f>
        <x:v>B</x:v>
      </x:c>
      <x:c r="U25" s="55" t="str">
        <x:v>90—150分钟</x:v>
      </x:c>
      <x:c r="V25" s="55" t="str">
        <x:v>中；石板路</x:v>
      </x:c>
      <x:c r="W25" s="55" t="str">
        <x:v>开门后1小时内</x:v>
      </x:c>
      <x:c r="X25" s="55" t="str">
        <x:v>开放街区</x:v>
      </x:c>
      <x:c r="Y25" s="55" t="str">
        <x:v>移动支付/现金</x:v>
      </x:c>
      <x:c r="Z25" s="55" t="str">
        <x:v>热门区标识较好</x:v>
      </x:c>
      <x:c r="AA25" s="55" t="str">
        <x:v>雨天可但拥挤</x:v>
      </x:c>
      <x:c r="AB25" s="55" t="str">
        <x:v>主街同质化、节假日过载</x:v>
      </x:c>
      <x:c r="AC25" s="55" t="str">
        <x:v>https://www.cq.gov.cn/zwgk/zfxxgkml/zdlyxxgk/ggwh/ly/zxdt/202408/t20240816_13513807.html</x:v>
      </x:c>
      <x:c r="AD25" s="55" t="str">
        <x:v>https://cq.gov.cn/ywdt/bmts/202501/t20250123_14203069.html</x:v>
      </x:c>
      <x:c r="AE25" s="72" t="n">
        <x:v>46231</x:v>
      </x:c>
      <x:c r="AF25" s="55" t="str">
        <x:v>实地核验</x:v>
      </x:c>
    </x:row>
    <x:row r="26">
      <x:c r="A26" s="55" t="str">
        <x:v>CQ021</x:v>
      </x:c>
      <x:c r="B26" s="55" t="str">
        <x:v>白公馆—渣滓洞</x:v>
      </x:c>
      <x:c r="C26" s="55" t="str">
        <x:v>沙坪坝区</x:v>
      </x:c>
      <x:c r="D26" s="55" t="str">
        <x:v>历史遗址</x:v>
      </x:c>
      <x:c r="E26" s="55" t="str">
        <x:v>抗战末期与政治历史</x:v>
      </x:c>
      <x:c r="F26" s="55" t="str">
        <x:v>条件推荐</x:v>
      </x:c>
      <x:c r="G26" s="55" t="str">
        <x:v>历史研究/教育团体</x:v>
      </x:c>
      <x:c r="H26" s="55" t="str">
        <x:v>叙事重要但敏感、沉重且英文解释不足；不默认放入轻松休闲版。</x:v>
      </x:c>
      <x:c r="I26" s="66" t="n">
        <x:v>4</x:v>
      </x:c>
      <x:c r="J26" s="66" t="n">
        <x:v>5</x:v>
      </x:c>
      <x:c r="K26" s="66" t="n">
        <x:v>3</x:v>
      </x:c>
      <x:c r="L26" s="66" t="n">
        <x:v>3</x:v>
      </x:c>
      <x:c r="M26" s="66" t="n">
        <x:v>3</x:v>
      </x:c>
      <x:c r="N26" s="69" t="n">
        <x:f>ROUND((I26*25+J26*25+K26*20+L26*20+(6-M26)*10)/5,0)</x:f>
        <x:v>75</x:v>
      </x:c>
      <x:c r="O26" s="66" t="n">
        <x:v>5</x:v>
      </x:c>
      <x:c r="P26" s="66" t="n">
        <x:v>4</x:v>
      </x:c>
      <x:c r="Q26" s="66" t="n">
        <x:v>5</x:v>
      </x:c>
      <x:c r="R26" s="66" t="n">
        <x:v>0</x:v>
      </x:c>
      <x:c r="S26" s="69" t="n">
        <x:f>ROUND((O26*35+P26*25+Q26*20+IF(R26=1,5,2)*20)/5,0)</x:f>
        <x:v>83</x:v>
      </x:c>
      <x:c r="T26" s="55" t="str">
        <x:f>IF(S26&gt;=85,"A",IF(S26&gt;=70,"B",IF(S26&gt;=50,"C","D")))</x:f>
        <x:v>B</x:v>
      </x:c>
      <x:c r="U26" s="55" t="str">
        <x:v>2—3小时</x:v>
      </x:c>
      <x:c r="V26" s="55" t="str">
        <x:v>中；转场</x:v>
      </x:c>
      <x:c r="W26" s="55" t="str">
        <x:v>上午</x:v>
      </x:c>
      <x:c r="X26" s="55" t="str">
        <x:v>官方预约与开放需复核</x:v>
      </x:c>
      <x:c r="Y26" s="55" t="str">
        <x:v>多为免费</x:v>
      </x:c>
      <x:c r="Z26" s="55" t="str">
        <x:v>英文导览待核验</x:v>
      </x:c>
      <x:c r="AA26" s="55" t="str">
        <x:v>雨天可</x:v>
      </x:c>
      <x:c r="AB26" s="55" t="str">
        <x:v>需要平衡、准确、克制的历史说明</x:v>
      </x:c>
      <x:c r="AC26" s="55" t="str">
        <x:v>https://www.hongyanmuseum.cn/</x:v>
      </x:c>
      <x:c r="AD26" s="55" t="str">
        <x:v>https://cq.gov.cn/ywdt/bmts/202501/t20250123_14203069.html</x:v>
      </x:c>
      <x:c r="AE26" s="72" t="n">
        <x:v>46231</x:v>
      </x:c>
      <x:c r="AF26" s="55" t="str">
        <x:v>电话核验</x:v>
      </x:c>
    </x:row>
    <x:row r="27">
      <x:c r="A27" s="55" t="str">
        <x:v>CQ022</x:v>
      </x:c>
      <x:c r="B27" s="55" t="str">
        <x:v>龙门浩—下浩里</x:v>
      </x:c>
      <x:c r="C27" s="55" t="str">
        <x:v>南岸区</x:v>
      </x:c>
      <x:c r="D27" s="55" t="str">
        <x:v>历史街区</x:v>
      </x:c>
      <x:c r="E27" s="55" t="str">
        <x:v>开埠史、山地街巷与南岸视角</x:v>
      </x:c>
      <x:c r="F27" s="55" t="str">
        <x:v>必去核心</x:v>
      </x:c>
      <x:c r="G27" s="55" t="str">
        <x:v>建筑/慢旅行/摄影</x:v>
      </x:c>
      <x:c r="H27" s="55" t="str">
        <x:v>比十八梯更适合深度步行；与东水门、黄葛古道形成南岸历史线。</x:v>
      </x:c>
      <x:c r="I27" s="66" t="n">
        <x:v>5</x:v>
      </x:c>
      <x:c r="J27" s="66" t="n">
        <x:v>5</x:v>
      </x:c>
      <x:c r="K27" s="66" t="n">
        <x:v>5</x:v>
      </x:c>
      <x:c r="L27" s="66" t="n">
        <x:v>4</x:v>
      </x:c>
      <x:c r="M27" s="66" t="n">
        <x:v>3</x:v>
      </x:c>
      <x:c r="N27" s="69" t="n">
        <x:f>ROUND((I27*25+J27*25+K27*20+L27*20+(6-M27)*10)/5,0)</x:f>
        <x:v>92</x:v>
      </x:c>
      <x:c r="O27" s="66" t="n">
        <x:v>5</x:v>
      </x:c>
      <x:c r="P27" s="66" t="n">
        <x:v>4</x:v>
      </x:c>
      <x:c r="Q27" s="66" t="n">
        <x:v>4</x:v>
      </x:c>
      <x:c r="R27" s="66" t="n">
        <x:v>0</x:v>
      </x:c>
      <x:c r="S27" s="69" t="n">
        <x:f>ROUND((O27*35+P27*25+Q27*20+IF(R27=1,5,2)*20)/5,0)</x:f>
        <x:v>79</x:v>
      </x:c>
      <x:c r="T27" s="55" t="str">
        <x:f>IF(S27&gt;=85,"A",IF(S27&gt;=70,"B",IF(S27&gt;=50,"C","D")))</x:f>
        <x:v>B</x:v>
      </x:c>
      <x:c r="U27" s="55" t="str">
        <x:v>2—3小时</x:v>
      </x:c>
      <x:c r="V27" s="55" t="str">
        <x:v>高；坡道台阶</x:v>
      </x:c>
      <x:c r="W27" s="55" t="str">
        <x:v>下午至日落</x:v>
      </x:c>
      <x:c r="X27" s="55" t="str">
        <x:v>开放街区</x:v>
      </x:c>
      <x:c r="Y27" s="55" t="str">
        <x:v>移动支付/现金</x:v>
      </x:c>
      <x:c r="Z27" s="55" t="str">
        <x:v>商户英语不稳定</x:v>
      </x:c>
      <x:c r="AA27" s="55" t="str">
        <x:v>雨天缩短路线</x:v>
      </x:c>
      <x:c r="AB27" s="55" t="str">
        <x:v>入口与上下层混淆、节假日拍照人群</x:v>
      </x:c>
      <x:c r="AC27" s="55" t="str">
        <x:v>https://www.cq.gov.cn/zwgk/zfxxgkml/zdlyxxgk/ggwh/ly/zxdt/202408/t20240816_13513807.html</x:v>
      </x:c>
      <x:c r="AD27" s="55" t="str">
        <x:v>https://www.reddit.com/r/travelchina/comments/1v4olqp/thoughts_on_my_chongqing_itinerary/</x:v>
      </x:c>
      <x:c r="AE27" s="72" t="n">
        <x:v>46231</x:v>
      </x:c>
      <x:c r="AF27" s="55" t="str">
        <x:v>实地核验</x:v>
      </x:c>
    </x:row>
    <x:row r="28">
      <x:c r="A28" s="55" t="str">
        <x:v>CQ023</x:v>
      </x:c>
      <x:c r="B28" s="55" t="str">
        <x:v>黄葛古道—黄桷垭老街</x:v>
      </x:c>
      <x:c r="C28" s="55" t="str">
        <x:v>南岸区</x:v>
      </x:c>
      <x:c r="D28" s="55" t="str">
        <x:v>古道/街区</x:v>
      </x:c>
      <x:c r="E28" s="55" t="str">
        <x:v>川黔古道、马帮与山城陆路</x:v>
      </x:c>
      <x:c r="F28" s="55" t="str">
        <x:v>深度推荐</x:v>
      </x:c>
      <x:c r="G28" s="55" t="str">
        <x:v>徒步/历史/背包客</x:v>
      </x:c>
      <x:c r="H28" s="55" t="str">
        <x:v>能解释重庆不只有江运，也有山地陆路；适合高体力版。</x:v>
      </x:c>
      <x:c r="I28" s="66" t="n">
        <x:v>5</x:v>
      </x:c>
      <x:c r="J28" s="66" t="n">
        <x:v>5</x:v>
      </x:c>
      <x:c r="K28" s="66" t="n">
        <x:v>4</x:v>
      </x:c>
      <x:c r="L28" s="66" t="n">
        <x:v>2</x:v>
      </x:c>
      <x:c r="M28" s="66" t="n">
        <x:v>5</x:v>
      </x:c>
      <x:c r="N28" s="69" t="n">
        <x:f>ROUND((I28*25+J28*25+K28*20+L28*20+(6-M28)*10)/5,0)</x:f>
        <x:v>76</x:v>
      </x:c>
      <x:c r="O28" s="66" t="n">
        <x:v>4</x:v>
      </x:c>
      <x:c r="P28" s="66" t="n">
        <x:v>4</x:v>
      </x:c>
      <x:c r="Q28" s="66" t="n">
        <x:v>3</x:v>
      </x:c>
      <x:c r="R28" s="66" t="n">
        <x:v>0</x:v>
      </x:c>
      <x:c r="S28" s="69" t="n">
        <x:f>ROUND((O28*35+P28*25+Q28*20+IF(R28=1,5,2)*20)/5,0)</x:f>
        <x:v>68</x:v>
      </x:c>
      <x:c r="T28" s="55" t="str">
        <x:f>IF(S28&gt;=85,"A",IF(S28&gt;=70,"B",IF(S28&gt;=50,"C","D")))</x:f>
        <x:v>C</x:v>
      </x:c>
      <x:c r="U28" s="55" t="str">
        <x:v>2.5—4小时</x:v>
      </x:c>
      <x:c r="V28" s="55" t="str">
        <x:v>高；持续爬升</x:v>
      </x:c>
      <x:c r="W28" s="55" t="str">
        <x:v>凉爽季上午</x:v>
      </x:c>
      <x:c r="X28" s="55" t="str">
        <x:v>开放步道</x:v>
      </x:c>
      <x:c r="Y28" s="55" t="str">
        <x:v>免费</x:v>
      </x:c>
      <x:c r="Z28" s="55" t="str">
        <x:v>无稳定英文服务</x:v>
      </x:c>
      <x:c r="AA28" s="55" t="str">
        <x:v>雨天禁用</x:v>
      </x:c>
      <x:c r="AB28" s="55" t="str">
        <x:v>高温、湿滑、体力误判</x:v>
      </x:c>
      <x:c r="AC28" s="55" t="str">
        <x:v>https://www.cq.gov.cn/zwgk/zfxxgkml/zdlyxxgk/ggwh/ly/zxdt/202408/t20240816_13513807.html</x:v>
      </x:c>
      <x:c r="AD28" s="55" t="str">
        <x:v>https://www.trippest.com/chongqing-tours/3-hour-walking-tour/</x:v>
      </x:c>
      <x:c r="AE28" s="72" t="n">
        <x:v>46231</x:v>
      </x:c>
      <x:c r="AF28" s="55" t="str">
        <x:v>实地核验</x:v>
      </x:c>
    </x:row>
    <x:row r="29">
      <x:c r="A29" s="55" t="str">
        <x:v>CQ024</x:v>
      </x:c>
      <x:c r="B29" s="55" t="str">
        <x:v>老君洞</x:v>
      </x:c>
      <x:c r="C29" s="55" t="str">
        <x:v>南岸区</x:v>
      </x:c>
      <x:c r="D29" s="55" t="str">
        <x:v>宗教/观景</x:v>
      </x:c>
      <x:c r="E29" s="55" t="str">
        <x:v>道教、山地信仰与城市视角</x:v>
      </x:c>
      <x:c r="F29" s="55" t="str">
        <x:v>深度推荐</x:v>
      </x:c>
      <x:c r="G29" s="55" t="str">
        <x:v>文化/徒步/摄影</x:v>
      </x:c>
      <x:c r="H29" s="55" t="str">
        <x:v>与黄葛古道组合价值高；需明确宗教礼仪和台阶。</x:v>
      </x:c>
      <x:c r="I29" s="66" t="n">
        <x:v>5</x:v>
      </x:c>
      <x:c r="J29" s="66" t="n">
        <x:v>5</x:v>
      </x:c>
      <x:c r="K29" s="66" t="n">
        <x:v>4</x:v>
      </x:c>
      <x:c r="L29" s="66" t="n">
        <x:v>3</x:v>
      </x:c>
      <x:c r="M29" s="66" t="n">
        <x:v>5</x:v>
      </x:c>
      <x:c r="N29" s="69" t="n">
        <x:f>ROUND((I29*25+J29*25+K29*20+L29*20+(6-M29)*10)/5,0)</x:f>
        <x:v>80</x:v>
      </x:c>
      <x:c r="O29" s="66" t="n">
        <x:v>2</x:v>
      </x:c>
      <x:c r="P29" s="66" t="n">
        <x:v>3</x:v>
      </x:c>
      <x:c r="Q29" s="66" t="n">
        <x:v>2</x:v>
      </x:c>
      <x:c r="R29" s="66" t="n">
        <x:v>0</x:v>
      </x:c>
      <x:c r="S29" s="69" t="n">
        <x:f>ROUND((O29*35+P29*25+Q29*20+IF(R29=1,5,2)*20)/5,0)</x:f>
        <x:v>45</x:v>
      </x:c>
      <x:c r="T29" s="55" t="str">
        <x:f>IF(S29&gt;=85,"A",IF(S29&gt;=70,"B",IF(S29&gt;=50,"C","D")))</x:f>
        <x:v>D</x:v>
      </x:c>
      <x:c r="U29" s="55" t="str">
        <x:v>60—90分钟</x:v>
      </x:c>
      <x:c r="V29" s="55" t="str">
        <x:v>高；台阶</x:v>
      </x:c>
      <x:c r="W29" s="55" t="str">
        <x:v>上午或日落前</x:v>
      </x:c>
      <x:c r="X29" s="55" t="str">
        <x:v>开放规则待核验</x:v>
      </x:c>
      <x:c r="Y29" s="55" t="str">
        <x:v>待核验</x:v>
      </x:c>
      <x:c r="Z29" s="55" t="str">
        <x:v>英文解释需自带</x:v>
      </x:c>
      <x:c r="AA29" s="55" t="str">
        <x:v>雨天不推荐</x:v>
      </x:c>
      <x:c r="AB29" s="55" t="str">
        <x:v>礼仪、拍摄边界、台阶</x:v>
      </x:c>
      <x:c r="AC29" s="55" t="str">
        <x:v>https://www.reddit.com/r/travelchina/comments/1v4olqp/thoughts_on_my_chongqing_itinerary/</x:v>
      </x:c>
      <x:c r="AD29" s="55" t="str">
        <x:v>https://www.trippest.com/chongqing-tours/3-hour-walking-tour/</x:v>
      </x:c>
      <x:c r="AE29" s="72" t="n">
        <x:v>46231</x:v>
      </x:c>
      <x:c r="AF29" s="55" t="str">
        <x:v>电话核验</x:v>
      </x:c>
    </x:row>
    <x:row r="30">
      <x:c r="A30" s="55" t="str">
        <x:v>CQ025</x:v>
      </x:c>
      <x:c r="B30" s="55" t="str">
        <x:v>南山一棵树</x:v>
      </x:c>
      <x:c r="C30" s="55" t="str">
        <x:v>南岸区</x:v>
      </x:c>
      <x:c r="D30" s="55" t="str">
        <x:v>观景台</x:v>
      </x:c>
      <x:c r="E30" s="55" t="str">
        <x:v>重庆夜景</x:v>
      </x:c>
      <x:c r="F30" s="55" t="str">
        <x:v>条件推荐</x:v>
      </x:c>
      <x:c r="G30" s="55" t="str">
        <x:v>首次来渝/摄影</x:v>
      </x:c>
      <x:c r="H30" s="55" t="str">
        <x:v>天气好且不想徒步时使用；不是唯一夜景选择，能见度差时删除。</x:v>
      </x:c>
      <x:c r="I30" s="66" t="n">
        <x:v>3</x:v>
      </x:c>
      <x:c r="J30" s="66" t="n">
        <x:v>2</x:v>
      </x:c>
      <x:c r="K30" s="66" t="n">
        <x:v>3</x:v>
      </x:c>
      <x:c r="L30" s="66" t="n">
        <x:v>4</x:v>
      </x:c>
      <x:c r="M30" s="66" t="n">
        <x:v>4</x:v>
      </x:c>
      <x:c r="N30" s="69" t="n">
        <x:f>ROUND((I30*25+J30*25+K30*20+L30*20+(6-M30)*10)/5,0)</x:f>
        <x:v>57</x:v>
      </x:c>
      <x:c r="O30" s="66" t="n">
        <x:v>3</x:v>
      </x:c>
      <x:c r="P30" s="66" t="n">
        <x:v>4</x:v>
      </x:c>
      <x:c r="Q30" s="66" t="n">
        <x:v>2</x:v>
      </x:c>
      <x:c r="R30" s="66" t="n">
        <x:v>0</x:v>
      </x:c>
      <x:c r="S30" s="69" t="n">
        <x:f>ROUND((O30*35+P30*25+Q30*20+IF(R30=1,5,2)*20)/5,0)</x:f>
        <x:v>57</x:v>
      </x:c>
      <x:c r="T30" s="55" t="str">
        <x:f>IF(S30&gt;=85,"A",IF(S30&gt;=70,"B",IF(S30&gt;=50,"C","D")))</x:f>
        <x:v>C</x:v>
      </x:c>
      <x:c r="U30" s="55" t="str">
        <x:v>60—90分钟</x:v>
      </x:c>
      <x:c r="V30" s="55" t="str">
        <x:v>中</x:v>
      </x:c>
      <x:c r="W30" s="55" t="str">
        <x:v>日落前抵达</x:v>
      </x:c>
      <x:c r="X30" s="55" t="str">
        <x:v>票务与开放需复核</x:v>
      </x:c>
      <x:c r="Y30" s="55" t="str">
        <x:v>待核验</x:v>
      </x:c>
      <x:c r="Z30" s="55" t="str">
        <x:v>基础服务</x:v>
      </x:c>
      <x:c r="AA30" s="55" t="str">
        <x:v>雨雾天删除</x:v>
      </x:c>
      <x:c r="AB30" s="55" t="str">
        <x:v>堵车、能见度、返程打车</x:v>
      </x:c>
      <x:c r="AC30" s="55" t="str">
        <x:v>https://www.reddit.com/r/travelchina/comments/1v4olqp/thoughts_on_my_chongqing_itinerary/</x:v>
      </x:c>
      <x:c r="AD30" s="55" t="str">
        <x:v>https://www.reddit.com/r/China/comments/1qw4zvj/things_you_should_know_before_visiting_chongqing/</x:v>
      </x:c>
      <x:c r="AE30" s="72" t="n">
        <x:v>46231</x:v>
      </x:c>
      <x:c r="AF30" s="55" t="str">
        <x:v>实地核验</x:v>
      </x:c>
    </x:row>
    <x:row r="31">
      <x:c r="A31" s="55" t="str">
        <x:v>CQ026</x:v>
      </x:c>
      <x:c r="B31" s="55" t="str">
        <x:v>弹子石老街</x:v>
      </x:c>
      <x:c r="C31" s="55" t="str">
        <x:v>南岸区</x:v>
      </x:c>
      <x:c r="D31" s="55" t="str">
        <x:v>历史街区/商业</x:v>
      </x:c>
      <x:c r="E31" s="55" t="str">
        <x:v>开埠史与现代商业更新</x:v>
      </x:c>
      <x:c r="F31" s="55" t="str">
        <x:v>只顺路</x:v>
      </x:c>
      <x:c r="G31" s="55" t="str">
        <x:v>亲子/休闲/低体力</x:v>
      </x:c>
      <x:c r="H31" s="55" t="str">
        <x:v>空间友好但商业化较强；作为低体力南岸替代，不与下浩里重复安排。</x:v>
      </x:c>
      <x:c r="I31" s="66" t="n">
        <x:v>3</x:v>
      </x:c>
      <x:c r="J31" s="66" t="n">
        <x:v>3</x:v>
      </x:c>
      <x:c r="K31" s="66" t="n">
        <x:v>4</x:v>
      </x:c>
      <x:c r="L31" s="66" t="n">
        <x:v>5</x:v>
      </x:c>
      <x:c r="M31" s="66" t="n">
        <x:v>2</x:v>
      </x:c>
      <x:c r="N31" s="69" t="n">
        <x:f>ROUND((I31*25+J31*25+K31*20+L31*20+(6-M31)*10)/5,0)</x:f>
        <x:v>74</x:v>
      </x:c>
      <x:c r="O31" s="66" t="n">
        <x:v>5</x:v>
      </x:c>
      <x:c r="P31" s="66" t="n">
        <x:v>4</x:v>
      </x:c>
      <x:c r="Q31" s="66" t="n">
        <x:v>4</x:v>
      </x:c>
      <x:c r="R31" s="66" t="n">
        <x:v>0</x:v>
      </x:c>
      <x:c r="S31" s="69" t="n">
        <x:f>ROUND((O31*35+P31*25+Q31*20+IF(R31=1,5,2)*20)/5,0)</x:f>
        <x:v>79</x:v>
      </x:c>
      <x:c r="T31" s="55" t="str">
        <x:f>IF(S31&gt;=85,"A",IF(S31&gt;=70,"B",IF(S31&gt;=50,"C","D")))</x:f>
        <x:v>B</x:v>
      </x:c>
      <x:c r="U31" s="55" t="str">
        <x:v>60—90分钟</x:v>
      </x:c>
      <x:c r="V31" s="55" t="str">
        <x:v>低—中</x:v>
      </x:c>
      <x:c r="W31" s="55" t="str">
        <x:v>傍晚</x:v>
      </x:c>
      <x:c r="X31" s="55" t="str">
        <x:v>开放街区</x:v>
      </x:c>
      <x:c r="Y31" s="55" t="str">
        <x:v>移动支付/现金</x:v>
      </x:c>
      <x:c r="Z31" s="55" t="str">
        <x:v>标识尚可</x:v>
      </x:c>
      <x:c r="AA31" s="55" t="str">
        <x:v>雨天可</x:v>
      </x:c>
      <x:c r="AB31" s="55" t="str">
        <x:v>主题重叠、商业噪音</x:v>
      </x:c>
      <x:c r="AC31" s="55" t="str">
        <x:v>https://www.cq.gov.cn/zwgk/zfxxgkml/zdlyxxgk/ggwh/ly/zxdt/202408/t20240816_13513807.html</x:v>
      </x:c>
      <x:c r="AD31" s="55" t="str">
        <x:v>https://cq.gov.cn/ywdt/bmts/202501/t20250123_14203069.html</x:v>
      </x:c>
      <x:c r="AE31" s="72" t="n">
        <x:v>46231</x:v>
      </x:c>
      <x:c r="AF31" s="55" t="str">
        <x:v>实地核验</x:v>
      </x:c>
    </x:row>
    <x:row r="32">
      <x:c r="A32" s="55" t="str">
        <x:v>CQ027</x:v>
      </x:c>
      <x:c r="B32" s="55" t="str">
        <x:v>长江索道</x:v>
      </x:c>
      <x:c r="C32" s="55" t="str">
        <x:v>渝中—南岸</x:v>
      </x:c>
      <x:c r="D32" s="55" t="str">
        <x:v>交通体验</x:v>
      </x:c>
      <x:c r="E32" s="55" t="str">
        <x:v>跨江交通与城市视角</x:v>
      </x:c>
      <x:c r="F32" s="55" t="str">
        <x:v>条件推荐</x:v>
      </x:c>
      <x:c r="G32" s="55" t="str">
        <x:v>首次来渝/亲子</x:v>
      </x:c>
      <x:c r="H32" s="55" t="str">
        <x:v>早班或排队短时才值得；排队超过30分钟则用轨道/步行桥替代。</x:v>
      </x:c>
      <x:c r="I32" s="66" t="n">
        <x:v>4</x:v>
      </x:c>
      <x:c r="J32" s="66" t="n">
        <x:v>3</x:v>
      </x:c>
      <x:c r="K32" s="66" t="n">
        <x:v>4</x:v>
      </x:c>
      <x:c r="L32" s="66" t="n">
        <x:v>4</x:v>
      </x:c>
      <x:c r="M32" s="66" t="n">
        <x:v>5</x:v>
      </x:c>
      <x:c r="N32" s="69" t="n">
        <x:f>ROUND((I32*25+J32*25+K32*20+L32*20+(6-M32)*10)/5,0)</x:f>
        <x:v>69</x:v>
      </x:c>
      <x:c r="O32" s="66" t="n">
        <x:v>5</x:v>
      </x:c>
      <x:c r="P32" s="66" t="n">
        <x:v>4</x:v>
      </x:c>
      <x:c r="Q32" s="66" t="n">
        <x:v>3</x:v>
      </x:c>
      <x:c r="R32" s="66" t="n">
        <x:v>0</x:v>
      </x:c>
      <x:c r="S32" s="69" t="n">
        <x:f>ROUND((O32*35+P32*25+Q32*20+IF(R32=1,5,2)*20)/5,0)</x:f>
        <x:v>75</x:v>
      </x:c>
      <x:c r="T32" s="55" t="str">
        <x:f>IF(S32&gt;=85,"A",IF(S32&gt;=70,"B",IF(S32&gt;=50,"C","D")))</x:f>
        <x:v>B</x:v>
      </x:c>
      <x:c r="U32" s="55" t="str">
        <x:v>20—60分钟</x:v>
      </x:c>
      <x:c r="V32" s="55" t="str">
        <x:v>低；排队</x:v>
      </x:c>
      <x:c r="W32" s="55" t="str">
        <x:v>开门后早段</x:v>
      </x:c>
      <x:c r="X32" s="55" t="str">
        <x:v>官方平台购票，实时复核</x:v>
      </x:c>
      <x:c r="Y32" s="55" t="str">
        <x:v>移动支付/证件规则待核验</x:v>
      </x:c>
      <x:c r="Z32" s="55" t="str">
        <x:v>热门项目服务较成熟</x:v>
      </x:c>
      <x:c r="AA32" s="55" t="str">
        <x:v>大风雨可能停运</x:v>
      </x:c>
      <x:c r="AB32" s="55" t="str">
        <x:v>排队、临停、单程终点安排</x:v>
      </x:c>
      <x:c r="AC32" s="55" t="str">
        <x:v>https://www.cqsuodao.com/zhangjiangsuodao.html</x:v>
      </x:c>
      <x:c r="AD32" s="55" t="str">
        <x:v>https://www.reddit.com/r/travelchina/comments/1v4olqp/thoughts_on_my_chongqing_itinerary/</x:v>
      </x:c>
      <x:c r="AE32" s="72" t="n">
        <x:v>46231</x:v>
      </x:c>
      <x:c r="AF32" s="55" t="str">
        <x:v>电话核验</x:v>
      </x:c>
    </x:row>
    <x:row r="33">
      <x:c r="A33" s="55" t="str">
        <x:v>CQ028</x:v>
      </x:c>
      <x:c r="B33" s="55" t="str">
        <x:v>两江游船</x:v>
      </x:c>
      <x:c r="C33" s="55" t="str">
        <x:v>渝中区码头</x:v>
      </x:c>
      <x:c r="D33" s="55" t="str">
        <x:v>夜游</x:v>
      </x:c>
      <x:c r="E33" s="55" t="str">
        <x:v>两江夜景</x:v>
      </x:c>
      <x:c r="F33" s="55" t="str">
        <x:v>条件推荐</x:v>
      </x:c>
      <x:c r="G33" s="55" t="str">
        <x:v>低体力/亲子/首次来渝</x:v>
      </x:c>
      <x:c r="H33" s="55" t="str">
        <x:v>为低体力客群提供完整夜景；背包客可用桥上步行替代。</x:v>
      </x:c>
      <x:c r="I33" s="66" t="n">
        <x:v>3</x:v>
      </x:c>
      <x:c r="J33" s="66" t="n">
        <x:v>2</x:v>
      </x:c>
      <x:c r="K33" s="66" t="n">
        <x:v>3</x:v>
      </x:c>
      <x:c r="L33" s="66" t="n">
        <x:v>4</x:v>
      </x:c>
      <x:c r="M33" s="66" t="n">
        <x:v>3</x:v>
      </x:c>
      <x:c r="N33" s="69" t="n">
        <x:f>ROUND((I33*25+J33*25+K33*20+L33*20+(6-M33)*10)/5,0)</x:f>
        <x:v>59</x:v>
      </x:c>
      <x:c r="O33" s="66" t="n">
        <x:v>2</x:v>
      </x:c>
      <x:c r="P33" s="66" t="n">
        <x:v>3</x:v>
      </x:c>
      <x:c r="Q33" s="66" t="n">
        <x:v>2</x:v>
      </x:c>
      <x:c r="R33" s="66" t="n">
        <x:v>0</x:v>
      </x:c>
      <x:c r="S33" s="69" t="n">
        <x:f>ROUND((O33*35+P33*25+Q33*20+IF(R33=1,5,2)*20)/5,0)</x:f>
        <x:v>45</x:v>
      </x:c>
      <x:c r="T33" s="55" t="str">
        <x:f>IF(S33&gt;=85,"A",IF(S33&gt;=70,"B",IF(S33&gt;=50,"C","D")))</x:f>
        <x:v>D</x:v>
      </x:c>
      <x:c r="U33" s="55" t="str">
        <x:v>60—90分钟</x:v>
      </x:c>
      <x:c r="V33" s="55" t="str">
        <x:v>低</x:v>
      </x:c>
      <x:c r="W33" s="55" t="str">
        <x:v>夜间</x:v>
      </x:c>
      <x:c r="X33" s="55" t="str">
        <x:v>船班、码头与票价需当日核验</x:v>
      </x:c>
      <x:c r="Y33" s="55" t="str">
        <x:v>移动支付</x:v>
      </x:c>
      <x:c r="Z33" s="55" t="str">
        <x:v>可能有基础英文</x:v>
      </x:c>
      <x:c r="AA33" s="55" t="str">
        <x:v>雨天视船况</x:v>
      </x:c>
      <x:c r="AB33" s="55" t="str">
        <x:v>码头混淆、营销票种、能见度</x:v>
      </x:c>
      <x:c r="AC33" s="55" t="str">
        <x:v>https://www.reddit.com/r/travelchina/comments/1v4olqp/thoughts_on_my_chongqing_itinerary/</x:v>
      </x:c>
      <x:c r="AD33" s="55" t="str">
        <x:v>https://cq.gov.cn/ywdt/bmts/202501/t20250123_14203069.html</x:v>
      </x:c>
      <x:c r="AE33" s="72" t="n">
        <x:v>46231</x:v>
      </x:c>
      <x:c r="AF33" s="55" t="str">
        <x:v>电话核验</x:v>
      </x:c>
    </x:row>
    <x:row r="34">
      <x:c r="A34" s="55" t="str">
        <x:v>CQ029</x:v>
      </x:c>
      <x:c r="B34" s="55" t="str">
        <x:v>重庆川剧院/川剧演出</x:v>
      </x:c>
      <x:c r="C34" s="55" t="str">
        <x:v>中心城区</x:v>
      </x:c>
      <x:c r="D34" s="55" t="str">
        <x:v>表演/非遗</x:v>
      </x:c>
      <x:c r="E34" s="55" t="str">
        <x:v>川剧、变脸与巴蜀舞台艺术</x:v>
      </x:c>
      <x:c r="F34" s="55" t="str">
        <x:v>深度推荐</x:v>
      </x:c>
      <x:c r="G34" s="55" t="str">
        <x:v>文化/亲子/小团</x:v>
      </x:c>
      <x:c r="H34" s="55" t="str">
        <x:v>必须从“看变脸”升级为演前解释、后台/互动和英文支持，才可形成高客单体验。</x:v>
      </x:c>
      <x:c r="I34" s="66" t="n">
        <x:v>5</x:v>
      </x:c>
      <x:c r="J34" s="66" t="n">
        <x:v>5</x:v>
      </x:c>
      <x:c r="K34" s="66" t="n">
        <x:v>4</x:v>
      </x:c>
      <x:c r="L34" s="66" t="n">
        <x:v>2</x:v>
      </x:c>
      <x:c r="M34" s="66" t="n">
        <x:v>3</x:v>
      </x:c>
      <x:c r="N34" s="69" t="n">
        <x:f>ROUND((I34*25+J34*25+K34*20+L34*20+(6-M34)*10)/5,0)</x:f>
        <x:v>80</x:v>
      </x:c>
      <x:c r="O34" s="66" t="n">
        <x:v>4</x:v>
      </x:c>
      <x:c r="P34" s="66" t="n">
        <x:v>4</x:v>
      </x:c>
      <x:c r="Q34" s="66" t="n">
        <x:v>5</x:v>
      </x:c>
      <x:c r="R34" s="66" t="n">
        <x:v>0</x:v>
      </x:c>
      <x:c r="S34" s="69" t="n">
        <x:f>ROUND((O34*35+P34*25+Q34*20+IF(R34=1,5,2)*20)/5,0)</x:f>
        <x:v>76</x:v>
      </x:c>
      <x:c r="T34" s="55" t="str">
        <x:f>IF(S34&gt;=85,"A",IF(S34&gt;=70,"B",IF(S34&gt;=50,"C","D")))</x:f>
        <x:v>B</x:v>
      </x:c>
      <x:c r="U34" s="55" t="str">
        <x:v>90—150分钟</x:v>
      </x:c>
      <x:c r="V34" s="55" t="str">
        <x:v>低</x:v>
      </x:c>
      <x:c r="W34" s="55" t="str">
        <x:v>按演出时段</x:v>
      </x:c>
      <x:c r="X34" s="55" t="str">
        <x:v>档期与票务待核验</x:v>
      </x:c>
      <x:c r="Y34" s="55" t="str">
        <x:v>待核验</x:v>
      </x:c>
      <x:c r="Z34" s="55" t="str">
        <x:v>英文讲解需洽谈</x:v>
      </x:c>
      <x:c r="AA34" s="55" t="str">
        <x:v>雨天主项目</x:v>
      </x:c>
      <x:c r="AB34" s="55" t="str">
        <x:v>演出质量差异、影像权、商业拼盘</x:v>
      </x:c>
      <x:c r="AC34" s="55" t="str">
        <x:v>https://whlyw.cq.gov.cn/zwxx_221/bmdt/gzdt/202607/t20260713_15818348.html</x:v>
      </x:c>
      <x:c r="AD34" s="55" t="str">
        <x:v>https://www.cq.gov.cn/zwgk/zfxxgkml/szfwj/qtgw/202607/t20260710_15814399_app.html</x:v>
      </x:c>
      <x:c r="AE34" s="72" t="n">
        <x:v>46231</x:v>
      </x:c>
      <x:c r="AF34" s="55" t="str">
        <x:v>供应商洽谈</x:v>
      </x:c>
    </x:row>
    <x:row r="35">
      <x:c r="A35" s="55" t="str">
        <x:v>CQ030</x:v>
      </x:c>
      <x:c r="B35" s="55" t="str">
        <x:v>本地社区火锅体验</x:v>
      </x:c>
      <x:c r="C35" s="55" t="str">
        <x:v>中心城区</x:v>
      </x:c>
      <x:c r="D35" s="55" t="str">
        <x:v>饮食体验</x:v>
      </x:c>
      <x:c r="E35" s="55" t="str">
        <x:v>码头饮食、香料与社交规则</x:v>
      </x:c>
      <x:c r="F35" s="55" t="str">
        <x:v>必去核心</x:v>
      </x:c>
      <x:c r="G35" s="55" t="str">
        <x:v>全部客群（需饮食分级）</x:v>
      </x:c>
      <x:c r="H35" s="55" t="str">
        <x:v>不是“网红店清单”，而是锅底、点菜、蘸料、辣度与社交的可解释体验。</x:v>
      </x:c>
      <x:c r="I35" s="66" t="n">
        <x:v>5</x:v>
      </x:c>
      <x:c r="J35" s="66" t="n">
        <x:v>5</x:v>
      </x:c>
      <x:c r="K35" s="66" t="n">
        <x:v>5</x:v>
      </x:c>
      <x:c r="L35" s="66" t="n">
        <x:v>2</x:v>
      </x:c>
      <x:c r="M35" s="66" t="n">
        <x:v>4</x:v>
      </x:c>
      <x:c r="N35" s="69" t="n">
        <x:f>ROUND((I35*25+J35*25+K35*20+L35*20+(6-M35)*10)/5,0)</x:f>
        <x:v>82</x:v>
      </x:c>
      <x:c r="O35" s="66" t="n">
        <x:v>2</x:v>
      </x:c>
      <x:c r="P35" s="66" t="n">
        <x:v>3</x:v>
      </x:c>
      <x:c r="Q35" s="66" t="n">
        <x:v>2</x:v>
      </x:c>
      <x:c r="R35" s="66" t="n">
        <x:v>0</x:v>
      </x:c>
      <x:c r="S35" s="69" t="n">
        <x:f>ROUND((O35*35+P35*25+Q35*20+IF(R35=1,5,2)*20)/5,0)</x:f>
        <x:v>45</x:v>
      </x:c>
      <x:c r="T35" s="55" t="str">
        <x:f>IF(S35&gt;=85,"A",IF(S35&gt;=70,"B",IF(S35&gt;=50,"C","D")))</x:f>
        <x:v>D</x:v>
      </x:c>
      <x:c r="U35" s="55" t="str">
        <x:v>2—3小时</x:v>
      </x:c>
      <x:c r="V35" s="55" t="str">
        <x:v>低</x:v>
      </x:c>
      <x:c r="W35" s="55" t="str">
        <x:v>晚餐</x:v>
      </x:c>
      <x:c r="X35" s="55" t="str">
        <x:v>最好预约；餐厅待选</x:v>
      </x:c>
      <x:c r="Y35" s="55" t="str">
        <x:v>外卡/现金能力需验证</x:v>
      </x:c>
      <x:c r="Z35" s="55" t="str">
        <x:v>需英文主理人或翻译</x:v>
      </x:c>
      <x:c r="AA35" s="55" t="str">
        <x:v>雨天适合</x:v>
      </x:c>
      <x:c r="AB35" s="55" t="str">
        <x:v>辣度、过敏、内脏、油烟、排队</x:v>
      </x:c>
      <x:c r="AC35" s="55" t="str">
        <x:v>https://hughchongqing.com/city-experiences/food-tour/</x:v>
      </x:c>
      <x:c r="AD35" s="55" t="str">
        <x:v>https://www.chongqingtours.com/</x:v>
      </x:c>
      <x:c r="AE35" s="72" t="n">
        <x:v>46231</x:v>
      </x:c>
      <x:c r="AF35" s="55" t="str">
        <x:v>供应商洽谈</x:v>
      </x:c>
    </x:row>
    <x:row r="36">
      <x:c r="A36" s="55" t="str">
        <x:v>CQ031</x:v>
      </x:c>
      <x:c r="B36" s="55" t="str">
        <x:v>观音桥夜市/街区</x:v>
      </x:c>
      <x:c r="C36" s="55" t="str">
        <x:v>江北区</x:v>
      </x:c>
      <x:c r="D36" s="55" t="str">
        <x:v>本地商业/夜生活</x:v>
      </x:c>
      <x:c r="E36" s="55" t="str">
        <x:v>当代城市生活与年轻人社交</x:v>
      </x:c>
      <x:c r="F36" s="55" t="str">
        <x:v>深度推荐</x:v>
      </x:c>
      <x:c r="G36" s="55" t="str">
        <x:v>年轻背包客/食物/夜生活</x:v>
      </x:c>
      <x:c r="H36" s="55" t="str">
        <x:v>比游客型小吃街更接近日常消费；适合作为住宿与夜间模块，不强塞进白天主线。</x:v>
      </x:c>
      <x:c r="I36" s="66" t="n">
        <x:v>4</x:v>
      </x:c>
      <x:c r="J36" s="66" t="n">
        <x:v>4</x:v>
      </x:c>
      <x:c r="K36" s="66" t="n">
        <x:v>4</x:v>
      </x:c>
      <x:c r="L36" s="66" t="n">
        <x:v>4</x:v>
      </x:c>
      <x:c r="M36" s="66" t="n">
        <x:v>3</x:v>
      </x:c>
      <x:c r="N36" s="69" t="n">
        <x:f>ROUND((I36*25+J36*25+K36*20+L36*20+(6-M36)*10)/5,0)</x:f>
        <x:v>78</x:v>
      </x:c>
      <x:c r="O36" s="66" t="n">
        <x:v>4</x:v>
      </x:c>
      <x:c r="P36" s="66" t="n">
        <x:v>4</x:v>
      </x:c>
      <x:c r="Q36" s="66" t="n">
        <x:v>5</x:v>
      </x:c>
      <x:c r="R36" s="66" t="n">
        <x:v>0</x:v>
      </x:c>
      <x:c r="S36" s="69" t="n">
        <x:f>ROUND((O36*35+P36*25+Q36*20+IF(R36=1,5,2)*20)/5,0)</x:f>
        <x:v>76</x:v>
      </x:c>
      <x:c r="T36" s="55" t="str">
        <x:f>IF(S36&gt;=85,"A",IF(S36&gt;=70,"B",IF(S36&gt;=50,"C","D")))</x:f>
        <x:v>B</x:v>
      </x:c>
      <x:c r="U36" s="55" t="str">
        <x:v>2—3小时</x:v>
      </x:c>
      <x:c r="V36" s="55" t="str">
        <x:v>低</x:v>
      </x:c>
      <x:c r="W36" s="55" t="str">
        <x:v>晚间</x:v>
      </x:c>
      <x:c r="X36" s="55" t="str">
        <x:v>开放街区</x:v>
      </x:c>
      <x:c r="Y36" s="55" t="str">
        <x:v>移动支付/现金</x:v>
      </x:c>
      <x:c r="Z36" s="55" t="str">
        <x:v>英语不稳定</x:v>
      </x:c>
      <x:c r="AA36" s="55" t="str">
        <x:v>雨天转商场/室内餐厅</x:v>
      </x:c>
      <x:c r="AB36" s="55" t="str">
        <x:v>噪音、饮食卫生与夜归</x:v>
      </x:c>
      <x:c r="AC36" s="55" t="str">
        <x:v>https://www.cq.gov.cn/zwgk/zfxxgkml/szfwj/qtgw/202607/t20260710_15814399_app.html</x:v>
      </x:c>
      <x:c r="AD36" s="55" t="str">
        <x:v>https://hughchongqing.com/city-experiences/food-tour/</x:v>
      </x:c>
      <x:c r="AE36" s="72" t="n">
        <x:v>46231</x:v>
      </x:c>
      <x:c r="AF36" s="55" t="str">
        <x:v>实地核验</x:v>
      </x:c>
    </x:row>
    <x:row r="37">
      <x:c r="A37" s="55" t="str">
        <x:v>CQ032</x:v>
      </x:c>
      <x:c r="B37" s="55" t="str">
        <x:v>重庆动物园</x:v>
      </x:c>
      <x:c r="C37" s="55" t="str">
        <x:v>九龙坡区</x:v>
      </x:c>
      <x:c r="D37" s="55" t="str">
        <x:v>动物园/亲子</x:v>
      </x:c>
      <x:c r="E37" s="55" t="str">
        <x:v>大熊猫与城市家庭客群</x:v>
      </x:c>
      <x:c r="F37" s="55" t="str">
        <x:v>条件推荐</x:v>
      </x:c>
      <x:c r="G37" s="55" t="str">
        <x:v>亲子/熊猫首访</x:v>
      </x:c>
      <x:c r="H37" s="55" t="str">
        <x:v>只在亲子或熊猫优先客群中加入；普通深度城市版删除。</x:v>
      </x:c>
      <x:c r="I37" s="66" t="n">
        <x:v>3</x:v>
      </x:c>
      <x:c r="J37" s="66" t="n">
        <x:v>2</x:v>
      </x:c>
      <x:c r="K37" s="66" t="n">
        <x:v>3</x:v>
      </x:c>
      <x:c r="L37" s="66" t="n">
        <x:v>5</x:v>
      </x:c>
      <x:c r="M37" s="66" t="n">
        <x:v>3</x:v>
      </x:c>
      <x:c r="N37" s="69" t="n">
        <x:f>ROUND((I37*25+J37*25+K37*20+L37*20+(6-M37)*10)/5,0)</x:f>
        <x:v>63</x:v>
      </x:c>
      <x:c r="O37" s="66" t="n">
        <x:v>3</x:v>
      </x:c>
      <x:c r="P37" s="66" t="n">
        <x:v>4</x:v>
      </x:c>
      <x:c r="Q37" s="66" t="n">
        <x:v>3</x:v>
      </x:c>
      <x:c r="R37" s="66" t="n">
        <x:v>0</x:v>
      </x:c>
      <x:c r="S37" s="69" t="n">
        <x:f>ROUND((O37*35+P37*25+Q37*20+IF(R37=1,5,2)*20)/5,0)</x:f>
        <x:v>61</x:v>
      </x:c>
      <x:c r="T37" s="55" t="str">
        <x:f>IF(S37&gt;=85,"A",IF(S37&gt;=70,"B",IF(S37&gt;=50,"C","D")))</x:f>
        <x:v>C</x:v>
      </x:c>
      <x:c r="U37" s="55" t="str">
        <x:v>3—4小时</x:v>
      </x:c>
      <x:c r="V37" s="55" t="str">
        <x:v>中</x:v>
      </x:c>
      <x:c r="W37" s="55" t="str">
        <x:v>开园后早段</x:v>
      </x:c>
      <x:c r="X37" s="55" t="str">
        <x:v>票务与动物出场需复核</x:v>
      </x:c>
      <x:c r="Y37" s="55" t="str">
        <x:v>移动支付/现金</x:v>
      </x:c>
      <x:c r="Z37" s="55" t="str">
        <x:v>热门景点标识较好</x:v>
      </x:c>
      <x:c r="AA37" s="55" t="str">
        <x:v>高温雨天体验下降</x:v>
      </x:c>
      <x:c r="AB37" s="55" t="str">
        <x:v>高温、动物活动时间、人流</x:v>
      </x:c>
      <x:c r="AC37" s="55" t="str">
        <x:v>https://cq.gov.cn/ywdt/bmts/202501/t20250123_14203069.html</x:v>
      </x:c>
      <x:c r="AD37" s="55" t="str">
        <x:v>https://www.reddit.com/r/travelchina/comments/1oxtmu6/im_a_local_in_chongqing_here_to_answer_your/</x:v>
      </x:c>
      <x:c r="AE37" s="72" t="n">
        <x:v>46231</x:v>
      </x:c>
      <x:c r="AF37" s="55" t="str">
        <x:v>实地核验</x:v>
      </x:c>
    </x:row>
    <x:row r="38">
      <x:c r="A38" s="55" t="str">
        <x:v>CQ033</x:v>
      </x:c>
      <x:c r="B38" s="55" t="str">
        <x:v>大足石刻（宝顶山/北山）</x:v>
      </x:c>
      <x:c r="C38" s="55" t="str">
        <x:v>大足区</x:v>
      </x:c>
      <x:c r="D38" s="55" t="str">
        <x:v>世界遗产/艺术史</x:v>
      </x:c>
      <x:c r="E38" s="55" t="str">
        <x:v>9—13世纪石窟艺术与儒释道融合</x:v>
      </x:c>
      <x:c r="F38" s="55" t="str">
        <x:v>必去核心</x:v>
      </x:c>
      <x:c r="G38" s="55" t="str">
        <x:v>文化/艺术/宗教/高客单小团</x:v>
      </x:c>
      <x:c r="H38" s="55" t="str">
        <x:v>比普通重庆打卡线更能建立文化权威；适合作为深度版第5天。</x:v>
      </x:c>
      <x:c r="I38" s="66" t="n">
        <x:v>5</x:v>
      </x:c>
      <x:c r="J38" s="66" t="n">
        <x:v>5</x:v>
      </x:c>
      <x:c r="K38" s="66" t="n">
        <x:v>4</x:v>
      </x:c>
      <x:c r="L38" s="66" t="n">
        <x:v>3</x:v>
      </x:c>
      <x:c r="M38" s="66" t="n">
        <x:v>4</x:v>
      </x:c>
      <x:c r="N38" s="69" t="n">
        <x:f>ROUND((I38*25+J38*25+K38*20+L38*20+(6-M38)*10)/5,0)</x:f>
        <x:v>82</x:v>
      </x:c>
      <x:c r="O38" s="66" t="n">
        <x:v>5</x:v>
      </x:c>
      <x:c r="P38" s="66" t="n">
        <x:v>5</x:v>
      </x:c>
      <x:c r="Q38" s="66" t="n">
        <x:v>5</x:v>
      </x:c>
      <x:c r="R38" s="66" t="n">
        <x:v>0</x:v>
      </x:c>
      <x:c r="S38" s="69" t="n">
        <x:f>ROUND((O38*35+P38*25+Q38*20+IF(R38=1,5,2)*20)/5,0)</x:f>
        <x:v>88</x:v>
      </x:c>
      <x:c r="T38" s="55" t="str">
        <x:f>IF(S38&gt;=85,"A",IF(S38&gt;=70,"B",IF(S38&gt;=50,"C","D")))</x:f>
        <x:v>A</x:v>
      </x:c>
      <x:c r="U38" s="55" t="str">
        <x:v>完整1天</x:v>
      </x:c>
      <x:c r="V38" s="55" t="str">
        <x:v>中；景区步行</x:v>
      </x:c>
      <x:c r="W38" s="55" t="str">
        <x:v>早出发</x:v>
      </x:c>
      <x:c r="X38" s="55" t="str">
        <x:v>官方公众号预约；最新票价复核</x:v>
      </x:c>
      <x:c r="Y38" s="55" t="str">
        <x:v>护照购票流程待核验</x:v>
      </x:c>
      <x:c r="Z38" s="55" t="str">
        <x:v>英文讲解/导览待核验</x:v>
      </x:c>
      <x:c r="AA38" s="55" t="str">
        <x:v>小雨可，大雨调整</x:v>
      </x:c>
      <x:c r="AB38" s="55" t="str">
        <x:v>城际交通、讲解质量、闭馆时点</x:v>
      </x:c>
      <x:c r="AC38" s="55" t="str">
        <x:v>https://www.dazu.gov.cn/qzfjz/smz/zwgk_53321/zfxxgkml/jczwgk_218260/ggwhfwlyjczwgk_1/ggfw/ggeljgml/202601/t20260105_15291915.html</x:v>
      </x:c>
      <x:c r="AD38" s="55" t="str">
        <x:v>https://whc.unesco.org/en/list/912/</x:v>
      </x:c>
      <x:c r="AE38" s="72" t="n">
        <x:v>46231</x:v>
      </x:c>
      <x:c r="AF38" s="55" t="str">
        <x:v>电话核验</x:v>
      </x:c>
    </x:row>
    <x:row r="39">
      <x:c r="A39" s="56" t="str">
        <x:v>CQ034</x:v>
      </x:c>
      <x:c r="B39" s="56" t="str">
        <x:v>武隆天生三桥/龙水峡地缝</x:v>
      </x:c>
      <x:c r="C39" s="56" t="str">
        <x:v>武隆区</x:v>
      </x:c>
      <x:c r="D39" s="56" t="str">
        <x:v>世界自然遗产/地貌</x:v>
      </x:c>
      <x:c r="E39" s="56" t="str">
        <x:v>深切峡谷与喀斯特</x:v>
      </x:c>
      <x:c r="F39" s="56" t="str">
        <x:v>条件推荐</x:v>
      </x:c>
      <x:c r="G39" s="56" t="str">
        <x:v>自然/摄影/首次来渝</x:v>
      </x:c>
      <x:c r="H39" s="56" t="str">
        <x:v>大众传播力强，适合作为自然版第5天；体力和城际交通必须写清。</x:v>
      </x:c>
      <x:c r="I39" s="67" t="n">
        <x:v>5</x:v>
      </x:c>
      <x:c r="J39" s="67" t="n">
        <x:v>4</x:v>
      </x:c>
      <x:c r="K39" s="67" t="n">
        <x:v>3</x:v>
      </x:c>
      <x:c r="L39" s="67" t="n">
        <x:v>3</x:v>
      </x:c>
      <x:c r="M39" s="67" t="n">
        <x:v>5</x:v>
      </x:c>
      <x:c r="N39" s="70" t="n">
        <x:f>ROUND((I39*25+J39*25+K39*20+L39*20+(6-M39)*10)/5,0)</x:f>
        <x:v>71</x:v>
      </x:c>
      <x:c r="O39" s="67" t="n">
        <x:v>5</x:v>
      </x:c>
      <x:c r="P39" s="67" t="n">
        <x:v>5</x:v>
      </x:c>
      <x:c r="Q39" s="67" t="n">
        <x:v>5</x:v>
      </x:c>
      <x:c r="R39" s="67" t="n">
        <x:v>0</x:v>
      </x:c>
      <x:c r="S39" s="70" t="n">
        <x:f>ROUND((O39*35+P39*25+Q39*20+IF(R39=1,5,2)*20)/5,0)</x:f>
        <x:v>88</x:v>
      </x:c>
      <x:c r="T39" s="56" t="str">
        <x:f>IF(S39&gt;=85,"A",IF(S39&gt;=70,"B",IF(S39&gt;=50,"C","D")))</x:f>
        <x:v>A</x:v>
      </x:c>
      <x:c r="U39" s="56" t="str">
        <x:v>完整1天</x:v>
      </x:c>
      <x:c r="V39" s="56" t="str">
        <x:v>高；长距离步行</x:v>
      </x:c>
      <x:c r="W39" s="56" t="str">
        <x:v>早出发</x:v>
      </x:c>
      <x:c r="X39" s="56" t="str">
        <x:v>官方小程序/OTA；季节时间明确</x:v>
      </x:c>
      <x:c r="Y39" s="56" t="str">
        <x:v>护照与接驳待核验</x:v>
      </x:c>
      <x:c r="Z39" s="56" t="str">
        <x:v>景区英语待核验</x:v>
      </x:c>
      <x:c r="AA39" s="56" t="str">
        <x:v>暴雨/地质风险时删除</x:v>
      </x:c>
      <x:c r="AB39" s="56" t="str">
        <x:v>步行量、接驳、天气、残障适配</x:v>
      </x:c>
      <x:c r="AC39" s="56" t="str">
        <x:v>https://cqwl.gov.cn/bmjz_sites/bm/wlw/zwgk_98942/zfxxgkml/jczwgkzl/ggwhfwly/ggfw/ggwljgmd/202601/t20260104_15286062.html</x:v>
      </x:c>
      <x:c r="AD39" s="56" t="str">
        <x:v>https://www.reddit.com/r/travelchina/comments/1v4olqp/thoughts_on_my_chongqing_itinerary/</x:v>
      </x:c>
      <x:c r="AE39" s="73" t="n">
        <x:v>46231</x:v>
      </x:c>
      <x:c r="AF39" s="56" t="str">
        <x:v>实地核验</x:v>
      </x:c>
    </x:row>
  </x:sheetData>
  <x:mergeCells>
    <x:mergeCell ref="A1:H1"/>
    <x:mergeCell ref="A2:H2"/>
    <x:mergeCell ref="A4:AF4"/>
  </x:mergeCells>
  <x:conditionalFormatting sqref="F6:F205">
    <x:cfRule type="containsText" dxfId="0" priority="1" operator="containsText" text="必去核心"/>
    <x:cfRule type="containsText" dxfId="1" priority="2" operator="containsText" text="深度推荐"/>
    <x:cfRule type="containsText" dxfId="2" priority="3" operator="containsText" text="条件推荐"/>
    <x:cfRule type="containsText" dxfId="3" priority="4" operator="containsText" text="只顺路"/>
    <x:cfRule type="containsText" dxfId="4" priority="5" operator="containsText" text="不推荐"/>
  </x:conditionalFormatting>
  <x:conditionalFormatting sqref="T6:T205">
    <x:cfRule type="containsText" dxfId="5" priority="6" operator="containsText" text="A"/>
    <x:cfRule type="containsText" dxfId="6" priority="7" operator="containsText" text="D"/>
  </x:conditionalFormatting>
  <x:dataValidations count="3">
    <x:dataValidation type="list" sqref="F6:F205">
      <x:formula1>"必去核心,深度推荐,条件推荐,只顺路,不推荐"</x:formula1>
    </x:dataValidation>
    <x:dataValidation type="whole" operator="between" sqref="R6:R205">
      <x:formula1>0</x:formula1>
      <x:formula2>1</x:formula2>
    </x:dataValidation>
    <x:dataValidation type="list" sqref="AF6:AF205">
      <x:formula1>"无需,线上复核,电话核验,实地核验,供应商洽谈"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ea1463736745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" hidden="0" customWidth="1"/>
    <x:col min="3" max="3" width="22" hidden="0" customWidth="1"/>
    <x:col min="4" max="4" width="12" hidden="0" customWidth="1"/>
    <x:col min="5" max="5" width="30" hidden="0" customWidth="1"/>
    <x:col min="6" max="6" width="14" hidden="0" customWidth="1"/>
    <x:col min="7" max="7" width="22" hidden="0" customWidth="1"/>
    <x:col min="8" max="8" width="36" hidden="0" customWidth="1"/>
    <x:col min="9" max="9" width="35" hidden="0" customWidth="1"/>
    <x:col min="10" max="10" width="11" hidden="0" customWidth="1"/>
    <x:col min="11" max="11" width="26" hidden="0" customWidth="1"/>
    <x:col min="12" max="12" width="28" hidden="0" customWidth="1"/>
    <x:col min="13" max="13" width="12" hidden="0" customWidth="1"/>
    <x:col min="14" max="14" width="40" hidden="0" customWidth="1"/>
    <x:col min="15" max="15" width="22" hidden="0" customWidth="1"/>
  </x:cols>
  <x:sheetData>
    <x:row r="1" ht="36" customHeight="1">
      <x:c r="A1" s="75" t="str">
        <x:v>Beyond Cyberpunk Chongqing｜5天深度路线骨架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</x:row>
    <x:row r="2" ht="28" customHeight="1">
      <x:c r="A2" s="76" t="str">
        <x:v>主版本为4天城区 + 1天大足文化延伸；武隆为第5天可替换自然版。所有门到门时间仍需实走。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</x:row>
    <x:row r="5" ht="34" customHeight="1">
      <x:c r="A5" s="82" t="str">
        <x:v>段ID</x:v>
      </x:c>
      <x:c r="B5" s="83" t="str">
        <x:v>天</x:v>
      </x:c>
      <x:c r="C5" s="83" t="str">
        <x:v>主题</x:v>
      </x:c>
      <x:c r="D5" s="83" t="str">
        <x:v>建议时间</x:v>
      </x:c>
      <x:c r="E5" s="83" t="str">
        <x:v>节点</x:v>
      </x:c>
      <x:c r="F5" s="83" t="str">
        <x:v>建议时长</x:v>
      </x:c>
      <x:c r="G5" s="83" t="str">
        <x:v>交通/方向</x:v>
      </x:c>
      <x:c r="H5" s="83" t="str">
        <x:v>为什么放这里</x:v>
      </x:c>
      <x:c r="I5" s="83" t="str">
        <x:v>必须讲清的内容</x:v>
      </x:c>
      <x:c r="J5" s="83" t="str">
        <x:v>体力</x:v>
      </x:c>
      <x:c r="K5" s="83" t="str">
        <x:v>外国人摩擦</x:v>
      </x:c>
      <x:c r="L5" s="83" t="str">
        <x:v>雨天/低体力替代</x:v>
      </x:c>
      <x:c r="M5" s="83" t="str">
        <x:v>推荐状态</x:v>
      </x:c>
      <x:c r="N5" s="83" t="str">
        <x:v>来源</x:v>
      </x:c>
      <x:c r="O5" s="84" t="str">
        <x:v>待核验</x:v>
      </x:c>
    </x:row>
    <x:row r="6">
      <x:c r="A6" s="34" t="str">
        <x:v>D1-01</x:v>
      </x:c>
      <x:c r="B6" s="57" t="n">
        <x:v>1</x:v>
      </x:c>
      <x:c r="C6" s="34" t="str">
        <x:v>城市为何长成这样</x:v>
      </x:c>
      <x:c r="D6" s="34" t="str">
        <x:v>09:00</x:v>
      </x:c>
      <x:c r="E6" s="34" t="str">
        <x:v>解放碑方向与地面层级说明</x:v>
      </x:c>
      <x:c r="F6" s="34" t="str">
        <x:v>45分钟</x:v>
      </x:c>
      <x:c r="G6" s="34" t="str">
        <x:v>步行</x:v>
      </x:c>
      <x:c r="H6" s="34" t="str">
        <x:v>先建立方向感和山城“地面不唯一”的概念</x:v>
      </x:c>
      <x:c r="I6" s="34" t="str">
        <x:v>碑的历史；不要把步行街当购物项目</x:v>
      </x:c>
      <x:c r="J6" s="34" t="str">
        <x:v>低</x:v>
      </x:c>
      <x:c r="K6" s="34" t="str">
        <x:v>地图海拔与出口</x:v>
      </x:c>
      <x:c r="L6" s="34" t="str">
        <x:v>雨天转地下通道</x:v>
      </x:c>
      <x:c r="M6" s="34" t="str">
        <x:v>主线</x:v>
      </x:c>
      <x:c r="N6" s="34" t="str">
        <x:v>https://www.cq.gov.cn/zwgk/zfxxgkml/szfwj/qtgw/202607/t20260710_15814399_app.html</x:v>
      </x:c>
      <x:c r="O6" s="34" t="str">
        <x:v>出口实测</x:v>
      </x:c>
    </x:row>
    <x:row r="7">
      <x:c r="A7" s="55" t="str">
        <x:v>D1-02</x:v>
      </x:c>
      <x:c r="B7" s="58" t="n">
        <x:v>1</x:v>
      </x:c>
      <x:c r="C7" s="55" t="str">
        <x:v>城市为何长成这样</x:v>
      </x:c>
      <x:c r="D7" s="55" t="str">
        <x:v>10:00</x:v>
      </x:c>
      <x:c r="E7" s="55" t="str">
        <x:v>罗汉寺</x:v>
      </x:c>
      <x:c r="F7" s="55" t="str">
        <x:v>50分钟</x:v>
      </x:c>
      <x:c r="G7" s="55" t="str">
        <x:v>步行</x:v>
      </x:c>
      <x:c r="H7" s="55" t="str">
        <x:v>用宗教空间对照摩天楼与商业中心</x:v>
      </x:c>
      <x:c r="I7" s="55" t="str">
        <x:v>礼仪、香火与拍摄边界</x:v>
      </x:c>
      <x:c r="J7" s="55" t="str">
        <x:v>低</x:v>
      </x:c>
      <x:c r="K7" s="55" t="str">
        <x:v>英文解释不足</x:v>
      </x:c>
      <x:c r="L7" s="55" t="str">
        <x:v>雨天保留</x:v>
      </x:c>
      <x:c r="M7" s="55" t="str">
        <x:v>主线</x:v>
      </x:c>
      <x:c r="N7" s="55" t="str">
        <x:v>https://www.reddit.com/r/travelchina/comments/1rotlj9/is_chongqing_just_a_night_city_what_to_do_during/</x:v>
      </x:c>
      <x:c r="O7" s="55" t="str">
        <x:v>开放/拍摄规则</x:v>
      </x:c>
    </x:row>
    <x:row r="8">
      <x:c r="A8" s="55" t="str">
        <x:v>D1-03</x:v>
      </x:c>
      <x:c r="B8" s="58" t="n">
        <x:v>1</x:v>
      </x:c>
      <x:c r="C8" s="55" t="str">
        <x:v>城市为何长成这样</x:v>
      </x:c>
      <x:c r="D8" s="55" t="str">
        <x:v>11:10</x:v>
      </x:c>
      <x:c r="E8" s="55" t="str">
        <x:v>魁星楼与高差观察</x:v>
      </x:c>
      <x:c r="F8" s="55" t="str">
        <x:v>30分钟</x:v>
      </x:c>
      <x:c r="G8" s="55" t="str">
        <x:v>步行</x:v>
      </x:c>
      <x:c r="H8" s="55" t="str">
        <x:v>第一次直观看到屋顶、广场和22层高差</x:v>
      </x:c>
      <x:c r="I8" s="55" t="str">
        <x:v>重庆的立体交通不是视觉噱头</x:v>
      </x:c>
      <x:c r="J8" s="55" t="str">
        <x:v>中</x:v>
      </x:c>
      <x:c r="K8" s="55" t="str">
        <x:v>入口层级</x:v>
      </x:c>
      <x:c r="L8" s="55" t="str">
        <x:v>雨天防滑</x:v>
      </x:c>
      <x:c r="M8" s="55" t="str">
        <x:v>主线</x:v>
      </x:c>
      <x:c r="N8" s="55" t="str">
        <x:v>https://www.reddit.com/r/travelchina/comments/1v4olqp/thoughts_on_my_chongqing_itinerary/</x:v>
      </x:c>
      <x:c r="O8" s="55" t="str">
        <x:v>最佳观察点</x:v>
      </x:c>
    </x:row>
    <x:row r="9">
      <x:c r="A9" s="55" t="str">
        <x:v>D1-04</x:v>
      </x:c>
      <x:c r="B9" s="58" t="n">
        <x:v>1</x:v>
      </x:c>
      <x:c r="C9" s="55" t="str">
        <x:v>城市为何长成这样</x:v>
      </x:c>
      <x:c r="D9" s="55" t="str">
        <x:v>12:00</x:v>
      </x:c>
      <x:c r="E9" s="55" t="str">
        <x:v>非网红午餐</x:v>
      </x:c>
      <x:c r="F9" s="55" t="str">
        <x:v>75分钟</x:v>
      </x:c>
      <x:c r="G9" s="55" t="str">
        <x:v>步行</x:v>
      </x:c>
      <x:c r="H9" s="55" t="str">
        <x:v>避免第一天直接上重辣火锅</x:v>
      </x:c>
      <x:c r="I9" s="55" t="str">
        <x:v>点菜、辣度、内脏与过敏提示</x:v>
      </x:c>
      <x:c r="J9" s="55" t="str">
        <x:v>低</x:v>
      </x:c>
      <x:c r="K9" s="55" t="str">
        <x:v>英文菜单/支付</x:v>
      </x:c>
      <x:c r="L9" s="55" t="str">
        <x:v>室内</x:v>
      </x:c>
      <x:c r="M9" s="55" t="str">
        <x:v>主线</x:v>
      </x:c>
      <x:c r="N9" s="55" t="str">
        <x:v>https://www.reddit.com/r/China/comments/1qw4zvj/things_you_should_know_before_visiting_chongqing/</x:v>
      </x:c>
      <x:c r="O9" s="55" t="str">
        <x:v>餐厅候选</x:v>
      </x:c>
    </x:row>
    <x:row r="10">
      <x:c r="A10" s="55" t="str">
        <x:v>D1-05</x:v>
      </x:c>
      <x:c r="B10" s="58" t="n">
        <x:v>1</x:v>
      </x:c>
      <x:c r="C10" s="55" t="str">
        <x:v>城市为何长成这样</x:v>
      </x:c>
      <x:c r="D10" s="55" t="str">
        <x:v>14:00</x:v>
      </x:c>
      <x:c r="E10" s="55" t="str">
        <x:v>朝天门江岸</x:v>
      </x:c>
      <x:c r="F10" s="55" t="str">
        <x:v>75分钟</x:v>
      </x:c>
      <x:c r="G10" s="55" t="str">
        <x:v>轨道/步行</x:v>
      </x:c>
      <x:c r="H10" s="55" t="str">
        <x:v>从两江、码头和城市更新理解重庆的门户性</x:v>
      </x:c>
      <x:c r="I10" s="55" t="str">
        <x:v>朝天门不是只有来福士</x:v>
      </x:c>
      <x:c r="J10" s="55" t="str">
        <x:v>中</x:v>
      </x:c>
      <x:c r="K10" s="55" t="str">
        <x:v>江岸入口与高差</x:v>
      </x:c>
      <x:c r="L10" s="55" t="str">
        <x:v>雨天转商业体</x:v>
      </x:c>
      <x:c r="M10" s="55" t="str">
        <x:v>主线</x:v>
      </x:c>
      <x:c r="N10" s="55" t="str">
        <x:v>https://cq.gov.cn/ywdt/bmts/202501/t20250123_14203069.html</x:v>
      </x:c>
      <x:c r="O10" s="55" t="str">
        <x:v>江岸路线实测</x:v>
      </x:c>
    </x:row>
    <x:row r="11">
      <x:c r="A11" s="55" t="str">
        <x:v>D1-06</x:v>
      </x:c>
      <x:c r="B11" s="58" t="n">
        <x:v>1</x:v>
      </x:c>
      <x:c r="C11" s="55" t="str">
        <x:v>城市为何长成这样</x:v>
      </x:c>
      <x:c r="D11" s="55" t="str">
        <x:v>16:30</x:v>
      </x:c>
      <x:c r="E11" s="55" t="str">
        <x:v>洪崖洞外部层级体验</x:v>
      </x:c>
      <x:c r="F11" s="55" t="str">
        <x:v>45分钟</x:v>
      </x:c>
      <x:c r="G11" s="55" t="str">
        <x:v>步行</x:v>
      </x:c>
      <x:c r="H11" s="55" t="str">
        <x:v>白天先看建筑结构，不在内部购物层消耗时间</x:v>
      </x:c>
      <x:c r="I11" s="55" t="str">
        <x:v>洪崖门、吊脚楼意象与现代重建</x:v>
      </x:c>
      <x:c r="J11" s="55" t="str">
        <x:v>中</x:v>
      </x:c>
      <x:c r="K11" s="55" t="str">
        <x:v>人流/出口</x:v>
      </x:c>
      <x:c r="L11" s="55" t="str">
        <x:v>大雨删除</x:v>
      </x:c>
      <x:c r="M11" s="55" t="str">
        <x:v>主线</x:v>
      </x:c>
      <x:c r="N11" s="55" t="str">
        <x:v>https://www.cq.gov.cn/zjcq/cycq/jplyxl/dsy/dsjp/202409/t20240905_13599455.html</x:v>
      </x:c>
      <x:c r="O11" s="55" t="str">
        <x:v>亮灯时点</x:v>
      </x:c>
    </x:row>
    <x:row r="12">
      <x:c r="A12" s="55" t="str">
        <x:v>D1-07</x:v>
      </x:c>
      <x:c r="B12" s="58" t="n">
        <x:v>1</x:v>
      </x:c>
      <x:c r="C12" s="55" t="str">
        <x:v>城市为何长成这样</x:v>
      </x:c>
      <x:c r="D12" s="55" t="str">
        <x:v>18:30</x:v>
      </x:c>
      <x:c r="E12" s="55" t="str">
        <x:v>千厮门桥—大剧院江岸看夜景</x:v>
      </x:c>
      <x:c r="F12" s="55" t="str">
        <x:v>90分钟</x:v>
      </x:c>
      <x:c r="G12" s="55" t="str">
        <x:v>步行过桥/轨道返程</x:v>
      </x:c>
      <x:c r="H12" s="55" t="str">
        <x:v>从外部获得完整夜景并避开内部商业噪音</x:v>
      </x:c>
      <x:c r="I12" s="55" t="str">
        <x:v>灯光、桥梁、两江关系</x:v>
      </x:c>
      <x:c r="J12" s="55" t="str">
        <x:v>中</x:v>
      </x:c>
      <x:c r="K12" s="55" t="str">
        <x:v>桥面天气/活动封控</x:v>
      </x:c>
      <x:c r="L12" s="55" t="str">
        <x:v>雨天转鹅岭或室内</x:v>
      </x:c>
      <x:c r="M12" s="55" t="str">
        <x:v>主线</x:v>
      </x:c>
      <x:c r="N12" s="55" t="str">
        <x:v>https://www.cq.gov.cn/zjcq/cycq/jplyxl/dsy/dsjp/202409/t20240905_13599455.html</x:v>
      </x:c>
      <x:c r="O12" s="55" t="str">
        <x:v>桥面通行</x:v>
      </x:c>
    </x:row>
    <x:row r="13">
      <x:c r="A13" s="55" t="str">
        <x:v>D2-01</x:v>
      </x:c>
      <x:c r="B13" s="58" t="n">
        <x:v>2</x:v>
      </x:c>
      <x:c r="C13" s="55" t="str">
        <x:v>移民与下半城</x:v>
      </x:c>
      <x:c r="D13" s="55" t="str">
        <x:v>09:00</x:v>
      </x:c>
      <x:c r="E13" s="55" t="str">
        <x:v>湖广会馆</x:v>
      </x:c>
      <x:c r="F13" s="55" t="str">
        <x:v>100分钟</x:v>
      </x:c>
      <x:c r="G13" s="55" t="str">
        <x:v>轨道/步行</x:v>
      </x:c>
      <x:c r="H13" s="55" t="str">
        <x:v>先理解湖广填四川和会馆体系</x:v>
      </x:c>
      <x:c r="I13" s="55" t="str">
        <x:v>移民如何重塑重庆人口和商业</x:v>
      </x:c>
      <x:c r="J13" s="55" t="str">
        <x:v>中</x:v>
      </x:c>
      <x:c r="K13" s="55" t="str">
        <x:v>护照购票/英文导览</x:v>
      </x:c>
      <x:c r="L13" s="55" t="str">
        <x:v>雨天保留</x:v>
      </x:c>
      <x:c r="M13" s="55" t="str">
        <x:v>主线</x:v>
      </x:c>
      <x:c r="N13" s="55" t="str">
        <x:v>https://whlyw.cq.gov.cn/zjwl/yzq/cqwlzy/zqwwzy/202405/t20240507_13182428.html</x:v>
      </x:c>
      <x:c r="O13" s="55" t="str">
        <x:v>票务/英文讲解</x:v>
      </x:c>
    </x:row>
    <x:row r="14">
      <x:c r="A14" s="55" t="str">
        <x:v>D2-02</x:v>
      </x:c>
      <x:c r="B14" s="58" t="n">
        <x:v>2</x:v>
      </x:c>
      <x:c r="C14" s="55" t="str">
        <x:v>移民与下半城</x:v>
      </x:c>
      <x:c r="D14" s="55" t="str">
        <x:v>10:50</x:v>
      </x:c>
      <x:c r="E14" s="55" t="str">
        <x:v>白象居外围与坡坎</x:v>
      </x:c>
      <x:c r="F14" s="55" t="str">
        <x:v>60分钟</x:v>
      </x:c>
      <x:c r="G14" s="55" t="str">
        <x:v>步行</x:v>
      </x:c>
      <x:c r="H14" s="55" t="str">
        <x:v>紧邻下半城，观察住宅与交通叠加</x:v>
      </x:c>
      <x:c r="I14" s="55" t="str">
        <x:v>尊重居民，不追逐私密机位</x:v>
      </x:c>
      <x:c r="J14" s="55" t="str">
        <x:v>高</x:v>
      </x:c>
      <x:c r="K14" s="55" t="str">
        <x:v>社区边界/台阶</x:v>
      </x:c>
      <x:c r="L14" s="55" t="str">
        <x:v>低体力者删除</x:v>
      </x:c>
      <x:c r="M14" s="55" t="str">
        <x:v>主线</x:v>
      </x:c>
      <x:c r="N14" s="55" t="str">
        <x:v>https://www.reddit.com/r/travelchina/comments/1oxtmu6/im_a_local_in_chongqing_here_to_answer_your/</x:v>
      </x:c>
      <x:c r="O14" s="55" t="str">
        <x:v>居民边界</x:v>
      </x:c>
    </x:row>
    <x:row r="15">
      <x:c r="A15" s="55" t="str">
        <x:v>D2-03</x:v>
      </x:c>
      <x:c r="B15" s="58" t="n">
        <x:v>2</x:v>
      </x:c>
      <x:c r="C15" s="55" t="str">
        <x:v>移民与下半城</x:v>
      </x:c>
      <x:c r="D15" s="55" t="str">
        <x:v>12:10</x:v>
      </x:c>
      <x:c r="E15" s="55" t="str">
        <x:v>下半城午餐</x:v>
      </x:c>
      <x:c r="F15" s="55" t="str">
        <x:v>75分钟</x:v>
      </x:c>
      <x:c r="G15" s="55" t="str">
        <x:v>步行</x:v>
      </x:c>
      <x:c r="H15" s="55" t="str">
        <x:v>让餐饮服务路线而不是反过来</x:v>
      </x:c>
      <x:c r="I15" s="55" t="str">
        <x:v>小面/江湖菜的点餐逻辑</x:v>
      </x:c>
      <x:c r="J15" s="55" t="str">
        <x:v>低</x:v>
      </x:c>
      <x:c r="K15" s="55" t="str">
        <x:v>辣度/菜单</x:v>
      </x:c>
      <x:c r="L15" s="55" t="str">
        <x:v>室内</x:v>
      </x:c>
      <x:c r="M15" s="55" t="str">
        <x:v>主线</x:v>
      </x:c>
      <x:c r="N15" s="55" t="str">
        <x:v>https://www.reddit.com/r/China/comments/1qw4zvj/things_you_should_know_before_visiting_chongqing/</x:v>
      </x:c>
      <x:c r="O15" s="55" t="str">
        <x:v>餐厅候选</x:v>
      </x:c>
    </x:row>
    <x:row r="16">
      <x:c r="A16" s="55" t="str">
        <x:v>D2-04</x:v>
      </x:c>
      <x:c r="B16" s="58" t="n">
        <x:v>2</x:v>
      </x:c>
      <x:c r="C16" s="55" t="str">
        <x:v>移民与下半城</x:v>
      </x:c>
      <x:c r="D16" s="55" t="str">
        <x:v>14:00</x:v>
      </x:c>
      <x:c r="E16" s="55" t="str">
        <x:v>山城巷/山城步道（建议自上而下）</x:v>
      </x:c>
      <x:c r="F16" s="55" t="str">
        <x:v>2.5小时</x:v>
      </x:c>
      <x:c r="G16" s="55" t="str">
        <x:v>短程车到高点后下行</x:v>
      </x:c>
      <x:c r="H16" s="55" t="str">
        <x:v>用完整步行而非碎片打卡理解城墙、坡坎与长江</x:v>
      </x:c>
      <x:c r="I16" s="55" t="str">
        <x:v>入口方向、地形、近代遗址与居民生活</x:v>
      </x:c>
      <x:c r="J16" s="55" t="str">
        <x:v>高</x:v>
      </x:c>
      <x:c r="K16" s="55" t="str">
        <x:v>Google地图偏差/台阶</x:v>
      </x:c>
      <x:c r="L16" s="55" t="str">
        <x:v>三峡博物馆替代</x:v>
      </x:c>
      <x:c r="M16" s="55" t="str">
        <x:v>主线</x:v>
      </x:c>
      <x:c r="N16" s="55" t="str">
        <x:v>https://www.yedutrip.com/yedushop/p/chongqing-walking-tour</x:v>
      </x:c>
      <x:c r="O16" s="55" t="str">
        <x:v>完整实走</x:v>
      </x:c>
    </x:row>
    <x:row r="17">
      <x:c r="A17" s="55" t="str">
        <x:v>D2-05</x:v>
      </x:c>
      <x:c r="B17" s="58" t="n">
        <x:v>2</x:v>
      </x:c>
      <x:c r="C17" s="55" t="str">
        <x:v>移民与下半城</x:v>
      </x:c>
      <x:c r="D17" s="55" t="str">
        <x:v>17:00</x:v>
      </x:c>
      <x:c r="E17" s="55" t="str">
        <x:v>十八梯只作通行与比较</x:v>
      </x:c>
      <x:c r="F17" s="55" t="str">
        <x:v>30分钟</x:v>
      </x:c>
      <x:c r="G17" s="55" t="str">
        <x:v>步行</x:v>
      </x:c>
      <x:c r="H17" s="55" t="str">
        <x:v>比较保护更新与商业化，不占完整时段</x:v>
      </x:c>
      <x:c r="I17" s="55" t="str">
        <x:v>为什么不把网红街区都列为必去</x:v>
      </x:c>
      <x:c r="J17" s="55" t="str">
        <x:v>中</x:v>
      </x:c>
      <x:c r="K17" s="55" t="str">
        <x:v>人流</x:v>
      </x:c>
      <x:c r="L17" s="55" t="str">
        <x:v>可直接删除</x:v>
      </x:c>
      <x:c r="M17" s="55" t="str">
        <x:v>降级</x:v>
      </x:c>
      <x:c r="N17" s="55" t="str">
        <x:v>https://www.cq.gov.cn/zwgk/zfxxgkml/zdlyxxgk/ggwh/ly/zxdt/202408/t20240816_13513807.html</x:v>
      </x:c>
      <x:c r="O17" s="55" t="str">
        <x:v>上下行出口</x:v>
      </x:c>
    </x:row>
    <x:row r="18">
      <x:c r="A18" s="55" t="str">
        <x:v>D2-06</x:v>
      </x:c>
      <x:c r="B18" s="58" t="n">
        <x:v>2</x:v>
      </x:c>
      <x:c r="C18" s="55" t="str">
        <x:v>移民与下半城</x:v>
      </x:c>
      <x:c r="D18" s="55" t="str">
        <x:v>18:00</x:v>
      </x:c>
      <x:c r="E18" s="55" t="str">
        <x:v>社区型火锅体验</x:v>
      </x:c>
      <x:c r="F18" s="55" t="str">
        <x:v>2.5小时</x:v>
      </x:c>
      <x:c r="G18" s="55" t="str">
        <x:v>步行/短程车</x:v>
      </x:c>
      <x:c r="H18" s="55" t="str">
        <x:v>把食物、社交和点菜规则做成可交付体验</x:v>
      </x:c>
      <x:c r="I18" s="55" t="str">
        <x:v>锅底、油碟、内脏、辣度、节奏</x:v>
      </x:c>
      <x:c r="J18" s="55" t="str">
        <x:v>低</x:v>
      </x:c>
      <x:c r="K18" s="55" t="str">
        <x:v>过敏/支付/英语</x:v>
      </x:c>
      <x:c r="L18" s="55" t="str">
        <x:v>雨天保留</x:v>
      </x:c>
      <x:c r="M18" s="55" t="str">
        <x:v>主线</x:v>
      </x:c>
      <x:c r="N18" s="55" t="str">
        <x:v>https://www.chongqingtours.com/</x:v>
      </x:c>
      <x:c r="O18" s="55" t="str">
        <x:v>供应商试吃</x:v>
      </x:c>
    </x:row>
    <x:row r="19">
      <x:c r="A19" s="55" t="str">
        <x:v>D3-01</x:v>
      </x:c>
      <x:c r="B19" s="58" t="n">
        <x:v>3</x:v>
      </x:c>
      <x:c r="C19" s="55" t="str">
        <x:v>重庆的历史骨架</x:v>
      </x:c>
      <x:c r="D19" s="55" t="str">
        <x:v>09:00</x:v>
      </x:c>
      <x:c r="E19" s="55" t="str">
        <x:v>重庆中国三峡博物馆</x:v>
      </x:c>
      <x:c r="F19" s="55" t="str">
        <x:v>2.5小时</x:v>
      </x:c>
      <x:c r="G19" s="55" t="str">
        <x:v>轨道</x:v>
      </x:c>
      <x:c r="H19" s="55" t="str">
        <x:v>为三峡、巴渝、抗战和城市变迁建立知识框架</x:v>
      </x:c>
      <x:c r="I19" s="55" t="str">
        <x:v>优先展厅和英文内容选择</x:v>
      </x:c>
      <x:c r="J19" s="55" t="str">
        <x:v>低</x:v>
      </x:c>
      <x:c r="K19" s="55" t="str">
        <x:v>护照入馆/英文覆盖</x:v>
      </x:c>
      <x:c r="L19" s="55" t="str">
        <x:v>雨天核心</x:v>
      </x:c>
      <x:c r="M19" s="55" t="str">
        <x:v>主线</x:v>
      </x:c>
      <x:c r="N19" s="55" t="str">
        <x:v>https://www.3gmuseum.cn/web/article/1430010139317059584/web/content_1430010139317059584.html</x:v>
      </x:c>
      <x:c r="O19" s="55" t="str">
        <x:v>展厅实测</x:v>
      </x:c>
    </x:row>
    <x:row r="20">
      <x:c r="A20" s="55" t="str">
        <x:v>D3-02</x:v>
      </x:c>
      <x:c r="B20" s="58" t="n">
        <x:v>3</x:v>
      </x:c>
      <x:c r="C20" s="55" t="str">
        <x:v>重庆的历史骨架</x:v>
      </x:c>
      <x:c r="D20" s="55" t="str">
        <x:v>11:40</x:v>
      </x:c>
      <x:c r="E20" s="55" t="str">
        <x:v>人民大礼堂外观</x:v>
      </x:c>
      <x:c r="F20" s="55" t="str">
        <x:v>20分钟</x:v>
      </x:c>
      <x:c r="G20" s="55" t="str">
        <x:v>步行</x:v>
      </x:c>
      <x:c r="H20" s="55" t="str">
        <x:v>与博物馆形成20世纪公共建筑对照</x:v>
      </x:c>
      <x:c r="I20" s="55" t="str">
        <x:v>只外观，不占用半天</x:v>
      </x:c>
      <x:c r="J20" s="55" t="str">
        <x:v>低</x:v>
      </x:c>
      <x:c r="K20" s="55" t="str">
        <x:v>活动封控</x:v>
      </x:c>
      <x:c r="L20" s="55" t="str">
        <x:v>雨天短停</x:v>
      </x:c>
      <x:c r="M20" s="55" t="str">
        <x:v>主线</x:v>
      </x:c>
      <x:c r="N20" s="55" t="str">
        <x:v>https://www.3gmuseum.cn/web/article/1430010139317059584/web/content_1430010139317059584.html</x:v>
      </x:c>
      <x:c r="O20" s="55" t="str">
        <x:v>入口</x:v>
      </x:c>
    </x:row>
    <x:row r="21">
      <x:c r="A21" s="55" t="str">
        <x:v>D3-03</x:v>
      </x:c>
      <x:c r="B21" s="58" t="n">
        <x:v>3</x:v>
      </x:c>
      <x:c r="C21" s="55" t="str">
        <x:v>重庆的历史骨架</x:v>
      </x:c>
      <x:c r="D21" s="55" t="str">
        <x:v>13:10</x:v>
      </x:c>
      <x:c r="E21" s="55" t="str">
        <x:v>中山四路</x:v>
      </x:c>
      <x:c r="F21" s="55" t="str">
        <x:v>75分钟</x:v>
      </x:c>
      <x:c r="G21" s="55" t="str">
        <x:v>短程车/步行</x:v>
      </x:c>
      <x:c r="H21" s="55" t="str">
        <x:v>把抗战陪都与外交史放进安静街区</x:v>
      </x:c>
      <x:c r="I21" s="55" t="str">
        <x:v>建筑、机构与城市记忆</x:v>
      </x:c>
      <x:c r="J21" s="55" t="str">
        <x:v>低</x:v>
      </x:c>
      <x:c r="K21" s="55" t="str">
        <x:v>英文解释</x:v>
      </x:c>
      <x:c r="L21" s="55" t="str">
        <x:v>雨天缩短</x:v>
      </x:c>
      <x:c r="M21" s="55" t="str">
        <x:v>主线</x:v>
      </x:c>
      <x:c r="N21" s="55" t="str">
        <x:v>https://www.reddit.com/r/travelchina/comments/1rotlj9/is_chongqing_just_a_night_city_what_to_do_during/</x:v>
      </x:c>
      <x:c r="O21" s="55" t="str">
        <x:v>场馆开放</x:v>
      </x:c>
    </x:row>
    <x:row r="22">
      <x:c r="A22" s="55" t="str">
        <x:v>D3-04</x:v>
      </x:c>
      <x:c r="B22" s="58" t="n">
        <x:v>3</x:v>
      </x:c>
      <x:c r="C22" s="55" t="str">
        <x:v>重庆的历史骨架</x:v>
      </x:c>
      <x:c r="D22" s="55" t="str">
        <x:v>15:00</x:v>
      </x:c>
      <x:c r="E22" s="55" t="str">
        <x:v>鹅岭公园</x:v>
      </x:c>
      <x:c r="F22" s="55" t="str">
        <x:v>90分钟</x:v>
      </x:c>
      <x:c r="G22" s="55" t="str">
        <x:v>轨道/步行</x:v>
      </x:c>
      <x:c r="H22" s="55" t="str">
        <x:v>在高点重新读取两江与半岛</x:v>
      </x:c>
      <x:c r="I22" s="55" t="str">
        <x:v>城市地形与本地公园生活</x:v>
      </x:c>
      <x:c r="J22" s="55" t="str">
        <x:v>中</x:v>
      </x:c>
      <x:c r="K22" s="55" t="str">
        <x:v>坡道/能见度</x:v>
      </x:c>
      <x:c r="L22" s="55" t="str">
        <x:v>大雨转室内</x:v>
      </x:c>
      <x:c r="M22" s="55" t="str">
        <x:v>主线</x:v>
      </x:c>
      <x:c r="N22" s="55" t="str">
        <x:v>https://www.reddit.com/r/travelchina/comments/1rotlj9/is_chongqing_just_a_night_city_what_to_do_during/</x:v>
      </x:c>
      <x:c r="O22" s="55" t="str">
        <x:v>塔楼开放</x:v>
      </x:c>
    </x:row>
    <x:row r="23">
      <x:c r="A23" s="55" t="str">
        <x:v>D3-05</x:v>
      </x:c>
      <x:c r="B23" s="58" t="n">
        <x:v>3</x:v>
      </x:c>
      <x:c r="C23" s="55" t="str">
        <x:v>重庆的历史骨架</x:v>
      </x:c>
      <x:c r="D23" s="55" t="str">
        <x:v>16:45</x:v>
      </x:c>
      <x:c r="E23" s="55" t="str">
        <x:v>TESTBED2 短停</x:v>
      </x:c>
      <x:c r="F23" s="55" t="str">
        <x:v>35分钟</x:v>
      </x:c>
      <x:c r="G23" s="55" t="str">
        <x:v>步行</x:v>
      </x:c>
      <x:c r="H23" s="55" t="str">
        <x:v>只讨论工业遗存与文创更新，不长时间消费</x:v>
      </x:c>
      <x:c r="I23" s="55" t="str">
        <x:v>什么被保存、什么被商业化</x:v>
      </x:c>
      <x:c r="J23" s="55" t="str">
        <x:v>中</x:v>
      </x:c>
      <x:c r="K23" s="55" t="str">
        <x:v>同质商户</x:v>
      </x:c>
      <x:c r="L23" s="55" t="str">
        <x:v>雨天可</x:v>
      </x:c>
      <x:c r="M23" s="55" t="str">
        <x:v>降级</x:v>
      </x:c>
      <x:c r="N23" s="55" t="str">
        <x:v>https://www.reddit.com/r/travelchina/comments/1rotlj9/is_chongqing_just_a_night_city_what_to_do_during/</x:v>
      </x:c>
      <x:c r="O23" s="55" t="str">
        <x:v>30分钟够不够</x:v>
      </x:c>
    </x:row>
    <x:row r="24">
      <x:c r="A24" s="55" t="str">
        <x:v>D3-06</x:v>
      </x:c>
      <x:c r="B24" s="58" t="n">
        <x:v>3</x:v>
      </x:c>
      <x:c r="C24" s="55" t="str">
        <x:v>重庆的历史骨架</x:v>
      </x:c>
      <x:c r="D24" s="55" t="str">
        <x:v>18:00</x:v>
      </x:c>
      <x:c r="E24" s="55" t="str">
        <x:v>观音桥夜间社区消费观察</x:v>
      </x:c>
      <x:c r="F24" s="55" t="str">
        <x:v>2小时</x:v>
      </x:c>
      <x:c r="G24" s="55" t="str">
        <x:v>轨道</x:v>
      </x:c>
      <x:c r="H24" s="55" t="str">
        <x:v>从游客中心转到本地年轻人的夜生活</x:v>
      </x:c>
      <x:c r="I24" s="55" t="str">
        <x:v>夜市、商圈、夜归与消费</x:v>
      </x:c>
      <x:c r="J24" s="55" t="str">
        <x:v>低</x:v>
      </x:c>
      <x:c r="K24" s="55" t="str">
        <x:v>拥挤/晚归</x:v>
      </x:c>
      <x:c r="L24" s="55" t="str">
        <x:v>雨天转商场</x:v>
      </x:c>
      <x:c r="M24" s="55" t="str">
        <x:v>可选</x:v>
      </x:c>
      <x:c r="N24" s="55" t="str">
        <x:v>https://www.cq.gov.cn/zwgk/zfxxgkml/szfwj/qtgw/202607/t20260710_15814399_app.html</x:v>
      </x:c>
      <x:c r="O24" s="55" t="str">
        <x:v>夜市位置</x:v>
      </x:c>
    </x:row>
    <x:row r="25">
      <x:c r="A25" s="55" t="str">
        <x:v>D4-01</x:v>
      </x:c>
      <x:c r="B25" s="58" t="n">
        <x:v>4</x:v>
      </x:c>
      <x:c r="C25" s="55" t="str">
        <x:v>单轨、工业与艺术社区</x:v>
      </x:c>
      <x:c r="D25" s="55" t="str">
        <x:v>09:00</x:v>
      </x:c>
      <x:c r="E25" s="55" t="str">
        <x:v>乘坐2号线至李子坝</x:v>
      </x:c>
      <x:c r="F25" s="55" t="str">
        <x:v>60分钟</x:v>
      </x:c>
      <x:c r="G25" s="55" t="str">
        <x:v>2号线</x:v>
      </x:c>
      <x:c r="H25" s="55" t="str">
        <x:v>乘车本身比观景台更重要</x:v>
      </x:c>
      <x:c r="I25" s="55" t="str">
        <x:v>跨座式单轨与山地城市交通</x:v>
      </x:c>
      <x:c r="J25" s="55" t="str">
        <x:v>低</x:v>
      </x:c>
      <x:c r="K25" s="55" t="str">
        <x:v>高峰拥挤</x:v>
      </x:c>
      <x:c r="L25" s="55" t="str">
        <x:v>雨天保留</x:v>
      </x:c>
      <x:c r="M25" s="55" t="str">
        <x:v>主线</x:v>
      </x:c>
      <x:c r="N25" s="55" t="str">
        <x:v>https://jtj.cq.gov.cn/zwgk_240/zfxxgkml/gggs/tzgg/202603/t20260302_15481715.html</x:v>
      </x:c>
      <x:c r="O25" s="55" t="str">
        <x:v>最佳车厢/方向</x:v>
      </x:c>
    </x:row>
    <x:row r="26">
      <x:c r="A26" s="55" t="str">
        <x:v>D4-02</x:v>
      </x:c>
      <x:c r="B26" s="58" t="n">
        <x:v>4</x:v>
      </x:c>
      <x:c r="C26" s="55" t="str">
        <x:v>单轨、工业与艺术社区</x:v>
      </x:c>
      <x:c r="D26" s="55" t="str">
        <x:v>10:10</x:v>
      </x:c>
      <x:c r="E26" s="55" t="str">
        <x:v>李子坝观景台短停</x:v>
      </x:c>
      <x:c r="F26" s="55" t="str">
        <x:v>25分钟</x:v>
      </x:c>
      <x:c r="G26" s="55" t="str">
        <x:v>步行</x:v>
      </x:c>
      <x:c r="H26" s="55" t="str">
        <x:v>补足外部观察，不排长队</x:v>
      </x:c>
      <x:c r="I26" s="55" t="str">
        <x:v>住宅、站体与城市空间共生</x:v>
      </x:c>
      <x:c r="J26" s="55" t="str">
        <x:v>低</x:v>
      </x:c>
      <x:c r="K26" s="55" t="str">
        <x:v>人流</x:v>
      </x:c>
      <x:c r="L26" s="55" t="str">
        <x:v>可跳过</x:v>
      </x:c>
      <x:c r="M26" s="55" t="str">
        <x:v>主线</x:v>
      </x:c>
      <x:c r="N26" s="55" t="str">
        <x:v>https://www.reddit.com/r/chinatravel/comments/1uv133a/first_time_in_china_solo_traveling/</x:v>
      </x:c>
      <x:c r="O26" s="55" t="str">
        <x:v>人流时点</x:v>
      </x:c>
    </x:row>
    <x:row r="27">
      <x:c r="A27" s="55" t="str">
        <x:v>D4-03</x:v>
      </x:c>
      <x:c r="B27" s="58" t="n">
        <x:v>4</x:v>
      </x:c>
      <x:c r="C27" s="55" t="str">
        <x:v>单轨、工业与艺术社区</x:v>
      </x:c>
      <x:c r="D27" s="55" t="str">
        <x:v>11:30</x:v>
      </x:c>
      <x:c r="E27" s="55" t="str">
        <x:v>黄桷坪—交通茶馆</x:v>
      </x:c>
      <x:c r="F27" s="55" t="str">
        <x:v>90分钟</x:v>
      </x:c>
      <x:c r="G27" s="55" t="str">
        <x:v>轨道+短程车</x:v>
      </x:c>
      <x:c r="H27" s="55" t="str">
        <x:v>从交通地标转入真实社交空间</x:v>
      </x:c>
      <x:c r="I27" s="55" t="str">
        <x:v>茶馆礼仪、摄影边界与本地节奏</x:v>
      </x:c>
      <x:c r="J27" s="55" t="str">
        <x:v>低</x:v>
      </x:c>
      <x:c r="K27" s="55" t="str">
        <x:v>英语/拍摄</x:v>
      </x:c>
      <x:c r="L27" s="55" t="str">
        <x:v>雨天保留</x:v>
      </x:c>
      <x:c r="M27" s="55" t="str">
        <x:v>主线</x:v>
      </x:c>
      <x:c r="N27" s="55" t="str">
        <x:v>https://www.reddit.com/r/travelchina/comments/1oxtmu6/im_a_local_in_chongqing_here_to_answer_your/</x:v>
      </x:c>
      <x:c r="O27" s="55" t="str">
        <x:v>拍摄规则</x:v>
      </x:c>
    </x:row>
    <x:row r="28">
      <x:c r="A28" s="55" t="str">
        <x:v>D4-04</x:v>
      </x:c>
      <x:c r="B28" s="58" t="n">
        <x:v>4</x:v>
      </x:c>
      <x:c r="C28" s="55" t="str">
        <x:v>单轨、工业与艺术社区</x:v>
      </x:c>
      <x:c r="D28" s="55" t="str">
        <x:v>13:30</x:v>
      </x:c>
      <x:c r="E28" s="55" t="str">
        <x:v>黄桷坪涂鸦街/川美周边</x:v>
      </x:c>
      <x:c r="F28" s="55" t="str">
        <x:v>2小时</x:v>
      </x:c>
      <x:c r="G28" s="55" t="str">
        <x:v>步行</x:v>
      </x:c>
      <x:c r="H28" s="55" t="str">
        <x:v>把公共艺术、学院与社区更新放在一起</x:v>
      </x:c>
      <x:c r="I28" s="55" t="str">
        <x:v>不是只找网红墙</x:v>
      </x:c>
      <x:c r="J28" s="55" t="str">
        <x:v>中</x:v>
      </x:c>
      <x:c r="K28" s="55" t="str">
        <x:v>校园边界</x:v>
      </x:c>
      <x:c r="L28" s="55" t="str">
        <x:v>小雨可</x:v>
      </x:c>
      <x:c r="M28" s="55" t="str">
        <x:v>主线</x:v>
      </x:c>
      <x:c r="N28" s="55" t="str">
        <x:v>https://www.reddit.com/r/travelchina/comments/1rotlj9/is_chongqing_just_a_night_city_what_to_do_during/</x:v>
      </x:c>
      <x:c r="O28" s="55" t="str">
        <x:v>展览/开放</x:v>
      </x:c>
    </x:row>
    <x:row r="29">
      <x:c r="A29" s="55" t="str">
        <x:v>D4-05</x:v>
      </x:c>
      <x:c r="B29" s="58" t="n">
        <x:v>4</x:v>
      </x:c>
      <x:c r="C29" s="55" t="str">
        <x:v>单轨、工业与艺术社区</x:v>
      </x:c>
      <x:c r="D29" s="55" t="str">
        <x:v>16:30</x:v>
      </x:c>
      <x:c r="E29" s="55" t="str">
        <x:v>龙门浩—下浩里</x:v>
      </x:c>
      <x:c r="F29" s="55" t="str">
        <x:v>2.5小时</x:v>
      </x:c>
      <x:c r="G29" s="55" t="str">
        <x:v>短程车</x:v>
      </x:c>
      <x:c r="H29" s="55" t="str">
        <x:v>在南岸完成开埠史、街巷与日落</x:v>
      </x:c>
      <x:c r="I29" s="55" t="str">
        <x:v>东水门、开埠建筑与街区更新</x:v>
      </x:c>
      <x:c r="J29" s="55" t="str">
        <x:v>高</x:v>
      </x:c>
      <x:c r="K29" s="55" t="str">
        <x:v>台阶/入口</x:v>
      </x:c>
      <x:c r="L29" s="55" t="str">
        <x:v>低体力改弹子石</x:v>
      </x:c>
      <x:c r="M29" s="55" t="str">
        <x:v>主线</x:v>
      </x:c>
      <x:c r="N29" s="55" t="str">
        <x:v>https://www.cq.gov.cn/zwgk/zfxxgkml/zdlyxxgk/ggwh/ly/zxdt/202408/t20240816_13513807.html</x:v>
      </x:c>
      <x:c r="O29" s="55" t="str">
        <x:v>完整实走</x:v>
      </x:c>
    </x:row>
    <x:row r="30">
      <x:c r="A30" s="55" t="str">
        <x:v>D4-06</x:v>
      </x:c>
      <x:c r="B30" s="58" t="n">
        <x:v>4</x:v>
      </x:c>
      <x:c r="C30" s="55" t="str">
        <x:v>单轨、工业与艺术社区</x:v>
      </x:c>
      <x:c r="D30" s="55" t="str">
        <x:v>19:30</x:v>
      </x:c>
      <x:c r="E30" s="55" t="str">
        <x:v>南岸晚餐后返程</x:v>
      </x:c>
      <x:c r="F30" s="55" t="str">
        <x:v>90分钟</x:v>
      </x:c>
      <x:c r="G30" s="55" t="str">
        <x:v>步行+轨道/车</x:v>
      </x:c>
      <x:c r="H30" s="55" t="str">
        <x:v>避免再叠加热门夜景点</x:v>
      </x:c>
      <x:c r="I30" s="55" t="str">
        <x:v>体力回收与夜归交通</x:v>
      </x:c>
      <x:c r="J30" s="55" t="str">
        <x:v>低</x:v>
      </x:c>
      <x:c r="K30" s="55" t="str">
        <x:v>打车/末班车</x:v>
      </x:c>
      <x:c r="L30" s="55" t="str">
        <x:v>室内</x:v>
      </x:c>
      <x:c r="M30" s="55" t="str">
        <x:v>主线</x:v>
      </x:c>
      <x:c r="N30" s="55" t="str">
        <x:v>https://www.reddit.com/r/travelchina/comments/1tto8t7/common_mistakes_i_keep_seeing_in_china_travel/</x:v>
      </x:c>
      <x:c r="O30" s="55" t="str">
        <x:v>返程时间</x:v>
      </x:c>
    </x:row>
    <x:row r="31">
      <x:c r="A31" s="55" t="str">
        <x:v>D5A-01</x:v>
      </x:c>
      <x:c r="B31" s="58" t="n">
        <x:v>5</x:v>
      </x:c>
      <x:c r="C31" s="55" t="str">
        <x:v>文化延伸版</x:v>
      </x:c>
      <x:c r="D31" s="55" t="str">
        <x:v>07:30</x:v>
      </x:c>
      <x:c r="E31" s="55" t="str">
        <x:v>重庆城区—大足</x:v>
      </x:c>
      <x:c r="F31" s="55" t="str">
        <x:v>2—3小时</x:v>
      </x:c>
      <x:c r="G31" s="55" t="str">
        <x:v>高铁/巴士/包车待定</x:v>
      </x:c>
      <x:c r="H31" s="55" t="str">
        <x:v>把转场成本公开写进产品</x:v>
      </x:c>
      <x:c r="I31" s="55" t="str">
        <x:v>不同交通方案的门到门时间</x:v>
      </x:c>
      <x:c r="J31" s="55" t="str">
        <x:v>低—中</x:v>
      </x:c>
      <x:c r="K31" s="55" t="str">
        <x:v>车站/护照/接驳</x:v>
      </x:c>
      <x:c r="L31" s="55" t="str">
        <x:v>大雨视情况</x:v>
      </x:c>
      <x:c r="M31" s="55" t="str">
        <x:v>主版本</x:v>
      </x:c>
      <x:c r="N31" s="55" t="str">
        <x:v>https://www.dazu.gov.cn/qzfjz/smz/zwgk_53321/zfxxgkml/jczwgk_218260/ggwhfwlyjczwgk_1/ggfw/ggeljgml/202601/t20260105_15291915.html</x:v>
      </x:c>
      <x:c r="O31" s="55" t="str">
        <x:v>交通实测</x:v>
      </x:c>
    </x:row>
    <x:row r="32">
      <x:c r="A32" s="55" t="str">
        <x:v>D5A-02</x:v>
      </x:c>
      <x:c r="B32" s="58" t="n">
        <x:v>5</x:v>
      </x:c>
      <x:c r="C32" s="55" t="str">
        <x:v>文化延伸版</x:v>
      </x:c>
      <x:c r="D32" s="55" t="str">
        <x:v>10:30</x:v>
      </x:c>
      <x:c r="E32" s="55" t="str">
        <x:v>宝顶山石刻</x:v>
      </x:c>
      <x:c r="F32" s="55" t="str">
        <x:v>3小时</x:v>
      </x:c>
      <x:c r="G32" s="55" t="str">
        <x:v>景区交通</x:v>
      </x:c>
      <x:c r="H32" s="55" t="str">
        <x:v>用核心造像讲儒释道、宋代社会与日常伦理</x:v>
      </x:c>
      <x:c r="I32" s="55" t="str">
        <x:v>讲解质量决定产品价值</x:v>
      </x:c>
      <x:c r="J32" s="55" t="str">
        <x:v>中</x:v>
      </x:c>
      <x:c r="K32" s="55" t="str">
        <x:v>英文讲解/购票</x:v>
      </x:c>
      <x:c r="L32" s="55" t="str">
        <x:v>小雨可</x:v>
      </x:c>
      <x:c r="M32" s="55" t="str">
        <x:v>主版本</x:v>
      </x:c>
      <x:c r="N32" s="55" t="str">
        <x:v>https://www.dazu.gov.cn/qzfjz/smz/zwgk_53321/zfxxgkml/jczwgk_218260/ggwhfwlyjczwgk_1/ggfw/ggeljgml/202601/t20260105_15291915.html</x:v>
      </x:c>
      <x:c r="O32" s="55" t="str">
        <x:v>英文讲解</x:v>
      </x:c>
    </x:row>
    <x:row r="33">
      <x:c r="A33" s="55" t="str">
        <x:v>D5A-03</x:v>
      </x:c>
      <x:c r="B33" s="58" t="n">
        <x:v>5</x:v>
      </x:c>
      <x:c r="C33" s="55" t="str">
        <x:v>文化延伸版</x:v>
      </x:c>
      <x:c r="D33" s="55" t="str">
        <x:v>14:30</x:v>
      </x:c>
      <x:c r="E33" s="55" t="str">
        <x:v>北山石刻或大足博物馆</x:v>
      </x:c>
      <x:c r="F33" s="55" t="str">
        <x:v>2小时</x:v>
      </x:c>
      <x:c r="G33" s="55" t="str">
        <x:v>短程车</x:v>
      </x:c>
      <x:c r="H33" s="55" t="str">
        <x:v>根据客群在艺术深度和低体力之间选择</x:v>
      </x:c>
      <x:c r="I33" s="55" t="str">
        <x:v>不追求五山全打卡</x:v>
      </x:c>
      <x:c r="J33" s="55" t="str">
        <x:v>中</x:v>
      </x:c>
      <x:c r="K33" s="55" t="str">
        <x:v>接驳</x:v>
      </x:c>
      <x:c r="L33" s="55" t="str">
        <x:v>博物馆替代</x:v>
      </x:c>
      <x:c r="M33" s="55" t="str">
        <x:v>主版本</x:v>
      </x:c>
      <x:c r="N33" s="55" t="str">
        <x:v>https://www.dazu.gov.cn/qzfjz/smz/zwgk_53321/zfxxgkml/jczwgk_218260/ggwhfwlyjczwgk_1/ggfw/ggeljgml/202601/t20260105_15291915.html</x:v>
      </x:c>
      <x:c r="O33" s="55" t="str">
        <x:v>开放/动线</x:v>
      </x:c>
    </x:row>
    <x:row r="34">
      <x:c r="A34" s="55" t="str">
        <x:v>D5A-04</x:v>
      </x:c>
      <x:c r="B34" s="58" t="n">
        <x:v>5</x:v>
      </x:c>
      <x:c r="C34" s="55" t="str">
        <x:v>文化延伸版</x:v>
      </x:c>
      <x:c r="D34" s="55" t="str">
        <x:v>17:00</x:v>
      </x:c>
      <x:c r="E34" s="55" t="str">
        <x:v>返重庆</x:v>
      </x:c>
      <x:c r="F34" s="55" t="str">
        <x:v>2—3小时</x:v>
      </x:c>
      <x:c r="G34" s="55" t="str">
        <x:v>高铁/巴士/包车</x:v>
      </x:c>
      <x:c r="H34" s="55" t="str">
        <x:v>保证不过度承诺晚间安排</x:v>
      </x:c>
      <x:c r="I34" s="55" t="str">
        <x:v>返程缓冲</x:v>
      </x:c>
      <x:c r="J34" s="55" t="str">
        <x:v>低</x:v>
      </x:c>
      <x:c r="K34" s="55" t="str">
        <x:v>堵车/车次</x:v>
      </x:c>
      <x:c r="L34" s="55" t="str">
        <x:v>无</x:v>
      </x:c>
      <x:c r="M34" s="55" t="str">
        <x:v>主版本</x:v>
      </x:c>
      <x:c r="N34" s="55" t="str">
        <x:v>https://www.dazu.gov.cn/qzfjz/smz/zwgk_53321/zfxxgkml/jczwgk_218260/ggwhfwlyjczwgk_1/ggfw/ggeljgml/202601/t20260105_15291915.html</x:v>
      </x:c>
      <x:c r="O34" s="55" t="str">
        <x:v>末班交通</x:v>
      </x:c>
    </x:row>
    <x:row r="35">
      <x:c r="A35" s="55" t="str">
        <x:v>D5B-01</x:v>
      </x:c>
      <x:c r="B35" s="58" t="n">
        <x:v>5</x:v>
      </x:c>
      <x:c r="C35" s="55" t="str">
        <x:v>自然替换版</x:v>
      </x:c>
      <x:c r="D35" s="55" t="str">
        <x:v>07:00</x:v>
      </x:c>
      <x:c r="E35" s="55" t="str">
        <x:v>重庆城区—武隆</x:v>
      </x:c>
      <x:c r="F35" s="55" t="str">
        <x:v>2.5—3.5小时</x:v>
      </x:c>
      <x:c r="G35" s="55" t="str">
        <x:v>高铁+接驳/包车</x:v>
      </x:c>
      <x:c r="H35" s="55" t="str">
        <x:v>只在自然偏好客群中替换大足</x:v>
      </x:c>
      <x:c r="I35" s="55" t="str">
        <x:v>门到门时间与接驳不可省略</x:v>
      </x:c>
      <x:c r="J35" s="55" t="str">
        <x:v>低—中</x:v>
      </x:c>
      <x:c r="K35" s="55" t="str">
        <x:v>车站/接驳</x:v>
      </x:c>
      <x:c r="L35" s="55" t="str">
        <x:v>暴雨删除</x:v>
      </x:c>
      <x:c r="M35" s="55" t="str">
        <x:v>替换</x:v>
      </x:c>
      <x:c r="N35" s="55" t="str">
        <x:v>https://cqwl.gov.cn/bmjz_sites/bm/wlw/zwgk_98942/zfxxgkml/jczwgkzl/ggwhfwly/ggfw/ggwljgmd/202601/t20260104_15286062.html</x:v>
      </x:c>
      <x:c r="O35" s="55" t="str">
        <x:v>交通实测</x:v>
      </x:c>
    </x:row>
    <x:row r="36">
      <x:c r="A36" s="55" t="str">
        <x:v>D5B-02</x:v>
      </x:c>
      <x:c r="B36" s="58" t="n">
        <x:v>5</x:v>
      </x:c>
      <x:c r="C36" s="55" t="str">
        <x:v>自然替换版</x:v>
      </x:c>
      <x:c r="D36" s="55" t="str">
        <x:v>10:30</x:v>
      </x:c>
      <x:c r="E36" s="55" t="str">
        <x:v>天生三桥</x:v>
      </x:c>
      <x:c r="F36" s="55" t="str">
        <x:v>3小时</x:v>
      </x:c>
      <x:c r="G36" s="55" t="str">
        <x:v>景区接驳+步行</x:v>
      </x:c>
      <x:c r="H36" s="55" t="str">
        <x:v>核心喀斯特体验</x:v>
      </x:c>
      <x:c r="I36" s="55" t="str">
        <x:v>电梯、步行距离、体力和天气</x:v>
      </x:c>
      <x:c r="J36" s="55" t="str">
        <x:v>高</x:v>
      </x:c>
      <x:c r="K36" s="55" t="str">
        <x:v>长步行/残障适配</x:v>
      </x:c>
      <x:c r="L36" s="55" t="str">
        <x:v>暴雨删除</x:v>
      </x:c>
      <x:c r="M36" s="55" t="str">
        <x:v>替换</x:v>
      </x:c>
      <x:c r="N36" s="55" t="str">
        <x:v>https://cqwl.gov.cn/bmjz_sites/bm/wlw/zwgk_98942/zfxxgkml/jczwgkzl/ggwhfwly/ggfw/ggwljgmd/202601/t20260104_15286062.html</x:v>
      </x:c>
      <x:c r="O36" s="55" t="str">
        <x:v>全程步数</x:v>
      </x:c>
    </x:row>
    <x:row r="37">
      <x:c r="A37" s="55" t="str">
        <x:v>D5B-03</x:v>
      </x:c>
      <x:c r="B37" s="58" t="n">
        <x:v>5</x:v>
      </x:c>
      <x:c r="C37" s="55" t="str">
        <x:v>自然替换版</x:v>
      </x:c>
      <x:c r="D37" s="55" t="str">
        <x:v>14:00</x:v>
      </x:c>
      <x:c r="E37" s="55" t="str">
        <x:v>龙水峡地缝（体力允许）</x:v>
      </x:c>
      <x:c r="F37" s="55" t="str">
        <x:v>2小时</x:v>
      </x:c>
      <x:c r="G37" s="55" t="str">
        <x:v>接驳+步行</x:v>
      </x:c>
      <x:c r="H37" s="55" t="str">
        <x:v>仅在天气和体力合适时叠加</x:v>
      </x:c>
      <x:c r="I37" s="55" t="str">
        <x:v>不要为打卡强塞两个高强度景区</x:v>
      </x:c>
      <x:c r="J37" s="55" t="str">
        <x:v>高</x:v>
      </x:c>
      <x:c r="K37" s="55" t="str">
        <x:v>湿滑/台阶</x:v>
      </x:c>
      <x:c r="L37" s="55" t="str">
        <x:v>仙女山或提前返程</x:v>
      </x:c>
      <x:c r="M37" s="55" t="str">
        <x:v>可选</x:v>
      </x:c>
      <x:c r="N37" s="55" t="str">
        <x:v>https://cqwl.gov.cn/bmjz_sites/bm/wlw/zwgk_98942/zfxxgkml/jczwgkzl/ggwhfwly/ggfw/ggwljgmd/202601/t20260104_15286062.html</x:v>
      </x:c>
      <x:c r="O37" s="55" t="str">
        <x:v>实际体力</x:v>
      </x:c>
    </x:row>
    <x:row r="38">
      <x:c r="A38" s="56" t="str">
        <x:v>D5B-04</x:v>
      </x:c>
      <x:c r="B38" s="59" t="n">
        <x:v>5</x:v>
      </x:c>
      <x:c r="C38" s="56" t="str">
        <x:v>自然替换版</x:v>
      </x:c>
      <x:c r="D38" s="56" t="str">
        <x:v>16:30</x:v>
      </x:c>
      <x:c r="E38" s="56" t="str">
        <x:v>返重庆</x:v>
      </x:c>
      <x:c r="F38" s="56" t="str">
        <x:v>3小时</x:v>
      </x:c>
      <x:c r="G38" s="56" t="str">
        <x:v>接驳+高铁/包车</x:v>
      </x:c>
      <x:c r="H38" s="56" t="str">
        <x:v>预留充足返程缓冲</x:v>
      </x:c>
      <x:c r="I38" s="56" t="str">
        <x:v>不要安排当晚刚性演出</x:v>
      </x:c>
      <x:c r="J38" s="56" t="str">
        <x:v>低</x:v>
      </x:c>
      <x:c r="K38" s="56" t="str">
        <x:v>错过车次</x:v>
      </x:c>
      <x:c r="L38" s="56" t="str">
        <x:v>无</x:v>
      </x:c>
      <x:c r="M38" s="56" t="str">
        <x:v>替换</x:v>
      </x:c>
      <x:c r="N38" s="56" t="str">
        <x:v>https://cqwl.gov.cn/bmjz_sites/bm/wlw/zwgk_98942/zfxxgkml/jczwgkzl/ggwhfwly/ggfw/ggwljgmd/202601/t20260104_15286062.html</x:v>
      </x:c>
      <x:c r="O38" s="56" t="str">
        <x:v>返程方案</x:v>
      </x:c>
    </x:row>
  </x:sheetData>
  <x:mergeCells>
    <x:mergeCell ref="A1:H1"/>
    <x:mergeCell ref="A2:H2"/>
  </x:mergeCells>
  <x:conditionalFormatting sqref="M6:M205">
    <x:cfRule type="containsText" dxfId="7" priority="1" operator="containsText" text="主线"/>
    <x:cfRule type="containsText" dxfId="8" priority="2" operator="containsText" text="降级"/>
  </x:conditionalFormatting>
  <x:dataValidations count="1">
    <x:dataValidation type="list" sqref="M6:M205">
      <x:formula1>"主线,主版本,替换,可选,降级,删除"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5c4f8556ea41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5" hidden="0" customWidth="1"/>
    <x:col min="4" max="4" width="42" hidden="0" customWidth="1"/>
    <x:col min="5" max="5" width="10" hidden="0" customWidth="1"/>
    <x:col min="6" max="6" width="12" hidden="0" customWidth="1"/>
    <x:col min="7" max="7" width="42" hidden="0" customWidth="1"/>
    <x:col min="8" max="8" width="28" hidden="0" customWidth="1"/>
    <x:col min="9" max="9" width="18" hidden="0" customWidth="1"/>
    <x:col min="10" max="10" width="42" hidden="0" customWidth="1"/>
    <x:col min="11" max="11" width="42" hidden="0" customWidth="1"/>
    <x:col min="12" max="12" width="20" hidden="0" customWidth="1"/>
  </x:cols>
  <x:sheetData>
    <x:row r="1" ht="36" customHeight="1">
      <x:c r="A1" s="75" t="str">
        <x:v>外国游客问题库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2" ht="28" customHeight="1">
      <x:c r="A2" s="76" t="str">
        <x:v>这些问题决定路书是否有付费价值。事实解决方案必须在发布前再次复核。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</x:row>
    <x:row r="5" ht="34" customHeight="1">
      <x:c r="A5" s="82" t="str">
        <x:v>问题ID</x:v>
      </x:c>
      <x:c r="B5" s="83" t="str">
        <x:v>旅程阶段</x:v>
      </x:c>
      <x:c r="C5" s="83" t="str">
        <x:v>真实问题</x:v>
      </x:c>
      <x:c r="D5" s="83" t="str">
        <x:v>为什么通用AI容易答错</x:v>
      </x:c>
      <x:c r="E5" s="83" t="str">
        <x:v>严重度</x:v>
      </x:c>
      <x:c r="F5" s="83" t="str">
        <x:v>出现频率</x:v>
      </x:c>
      <x:c r="G5" s="83" t="str">
        <x:v>产品解决方案</x:v>
      </x:c>
      <x:c r="H5" s="83" t="str">
        <x:v>需收集字段</x:v>
      </x:c>
      <x:c r="I5" s="83" t="str">
        <x:v>证据类型</x:v>
      </x:c>
      <x:c r="J5" s="83" t="str">
        <x:v>来源1</x:v>
      </x:c>
      <x:c r="K5" s="83" t="str">
        <x:v>来源2</x:v>
      </x:c>
      <x:c r="L5" s="84" t="str">
        <x:v>下一步</x:v>
      </x:c>
    </x:row>
    <x:row r="6">
      <x:c r="A6" s="34" t="str">
        <x:v>P01</x:v>
      </x:c>
      <x:c r="B6" s="34" t="str">
        <x:v>行前</x:v>
      </x:c>
      <x:c r="C6" s="34" t="str">
        <x:v>支付工具未提前设置或外卡偶发失败</x:v>
      </x:c>
      <x:c r="D6" s="34" t="str">
        <x:v>只说“绑定支付宝即可”，没有失败备份与小商户场景</x:v>
      </x:c>
      <x:c r="E6" s="34" t="str">
        <x:v>高</x:v>
      </x:c>
      <x:c r="F6" s="34" t="str">
        <x:v>高</x:v>
      </x:c>
      <x:c r="G6" s="34" t="str">
        <x:v>提供设置清单、测试支付、现金备份和失败处理</x:v>
      </x:c>
      <x:c r="H6" s="34" t="str">
        <x:v>外卡/现金/ATM/限额</x:v>
      </x:c>
      <x:c r="I6" s="34" t="str">
        <x:v>海外游客+政策</x:v>
      </x:c>
      <x:c r="J6" s="34" t="str">
        <x:v>https://www.reddit.com/r/travelchina/comments/1tto8t7/common_mistakes_i_keep_seeing_in_china_travel/</x:v>
      </x:c>
      <x:c r="K6" s="34" t="str">
        <x:v>https://www.cq.gov.cn/zwgk/zfxxgkml/szfwj/qtgw/202607/t20260710_15814399_app.html</x:v>
      </x:c>
      <x:c r="L6" s="34" t="str">
        <x:v>建立测试流程</x:v>
      </x:c>
    </x:row>
    <x:row r="7">
      <x:c r="A7" s="55" t="str">
        <x:v>P02</x:v>
      </x:c>
      <x:c r="B7" s="55" t="str">
        <x:v>行前</x:v>
      </x:c>
      <x:c r="C7" s="55" t="str">
        <x:v>Google地图位置与中国实际导航、楼层入口不一致</x:v>
      </x:c>
      <x:c r="D7" s="55" t="str">
        <x:v>无法理解重庆多个地面层和POI高差</x:v>
      </x:c>
      <x:c r="E7" s="55" t="str">
        <x:v>高</x:v>
      </x:c>
      <x:c r="F7" s="55" t="str">
        <x:v>高</x:v>
      </x:c>
      <x:c r="G7" s="55" t="str">
        <x:v>为每个节点提供中文名、入口照片、最近出口和高差说明</x:v>
      </x:c>
      <x:c r="H7" s="55" t="str">
        <x:v>中文名/坐标/入口/海拔层</x:v>
      </x:c>
      <x:c r="I7" s="55" t="str">
        <x:v>海外游客</x:v>
      </x:c>
      <x:c r="J7" s="55" t="str">
        <x:v>https://www.reddit.com/r/travelchina/comments/1v4olqp/thoughts_on_my_chongqing_itinerary/</x:v>
      </x:c>
      <x:c r="K7" s="55" t="str">
        <x:v>https://www.reddit.com/r/travelchina/comments/1rotlj9/is_chongqing_just_a_night_city_what_to_do_during/</x:v>
      </x:c>
      <x:c r="L7" s="55" t="str">
        <x:v>逐点实测</x:v>
      </x:c>
    </x:row>
    <x:row r="8">
      <x:c r="A8" s="55" t="str">
        <x:v>P03</x:v>
      </x:c>
      <x:c r="B8" s="55" t="str">
        <x:v>抵达</x:v>
      </x:c>
      <x:c r="C8" s="55" t="str">
        <x:v>重庆西站、北站、东站和沙坪坝站选择错误</x:v>
      </x:c>
      <x:c r="D8" s="55" t="str">
        <x:v>只计算直线距离，不计安检、拥堵与站内步行</x:v>
      </x:c>
      <x:c r="E8" s="55" t="str">
        <x:v>高</x:v>
      </x:c>
      <x:c r="F8" s="55" t="str">
        <x:v>中—高</x:v>
      </x:c>
      <x:c r="G8" s="55" t="str">
        <x:v>路书明确车站全名、适合线路和门到门缓冲</x:v>
      </x:c>
      <x:c r="H8" s="55" t="str">
        <x:v>车站/地铁/打车/行李</x:v>
      </x:c>
      <x:c r="I8" s="55" t="str">
        <x:v>海外游客+交通</x:v>
      </x:c>
      <x:c r="J8" s="55" t="str">
        <x:v>https://www.reddit.com/r/travelchina/comments/1tto8t7/common_mistakes_i_keep_seeing_in_china_travel/</x:v>
      </x:c>
      <x:c r="K8" s="55" t="str">
        <x:v>https://www.cq.gov.cn/zwgk/zfxxgkml/szfwj/qtgw/202607/t20260710_15814399_app.html</x:v>
      </x:c>
      <x:c r="L8" s="55" t="str">
        <x:v>实测西/北站</x:v>
      </x:c>
    </x:row>
    <x:row r="9">
      <x:c r="A9" s="55" t="str">
        <x:v>P04</x:v>
      </x:c>
      <x:c r="B9" s="55" t="str">
        <x:v>交通</x:v>
      </x:c>
      <x:c r="C9" s="55" t="str">
        <x:v>下雨或高峰期打车困难，地面交通慢</x:v>
      </x:c>
      <x:c r="D9" s="55" t="str">
        <x:v>忽略天气与山地道路造成的动态时间</x:v>
      </x:c>
      <x:c r="E9" s="55" t="str">
        <x:v>高</x:v>
      </x:c>
      <x:c r="F9" s="55" t="str">
        <x:v>高</x:v>
      </x:c>
      <x:c r="G9" s="55" t="str">
        <x:v>优先轨道；每段提供雨天与高峰替代</x:v>
      </x:c>
      <x:c r="H9" s="55" t="str">
        <x:v>高峰/雨天/末班车</x:v>
      </x:c>
      <x:c r="I9" s="55" t="str">
        <x:v>海外游客</x:v>
      </x:c>
      <x:c r="J9" s="55" t="str">
        <x:v>https://www.reddit.com/r/travelchina/comments/1tto8t7/common_mistakes_i_keep_seeing_in_china_travel/</x:v>
      </x:c>
      <x:c r="K9" s="55" t="str">
        <x:v>https://www.cq.gov.cn/ywdt/bmts/202504/t20250403_14491761.html</x:v>
      </x:c>
      <x:c r="L9" s="55" t="str">
        <x:v>建立时间带</x:v>
      </x:c>
    </x:row>
    <x:row r="10">
      <x:c r="A10" s="55" t="str">
        <x:v>P05</x:v>
      </x:c>
      <x:c r="B10" s="55" t="str">
        <x:v>交通</x:v>
      </x:c>
      <x:c r="C10" s="55" t="str">
        <x:v>只去李子坝观景台，错过单轨乘坐本身</x:v>
      </x:c>
      <x:c r="D10" s="55" t="str">
        <x:v>热门清单把“拍照点”当完整体验</x:v>
      </x:c>
      <x:c r="E10" s="55" t="str">
        <x:v>中</x:v>
      </x:c>
      <x:c r="F10" s="55" t="str">
        <x:v>高</x:v>
      </x:c>
      <x:c r="G10" s="55" t="str">
        <x:v>指定乘坐区间、方向和观景台短停上限</x:v>
      </x:c>
      <x:c r="H10" s="55" t="str">
        <x:v>车厢/方向/时段</x:v>
      </x:c>
      <x:c r="I10" s="55" t="str">
        <x:v>海外游客+产品判断</x:v>
      </x:c>
      <x:c r="J10" s="55" t="str">
        <x:v>https://www.reddit.com/r/chinatravel/comments/1uv133a/first_time_in_china_solo_traveling/</x:v>
      </x:c>
      <x:c r="K10" s="55" t="str">
        <x:v>https://www.reddit.com/r/travelchina/comments/1rotlj9/is_chongqing_just_a_night_city_what_to_do_during/</x:v>
      </x:c>
      <x:c r="L10" s="55" t="str">
        <x:v>实测方向</x:v>
      </x:c>
    </x:row>
    <x:row r="11">
      <x:c r="A11" s="55" t="str">
        <x:v>P06</x:v>
      </x:c>
      <x:c r="B11" s="55" t="str">
        <x:v>游览</x:v>
      </x:c>
      <x:c r="C11" s="55" t="str">
        <x:v>一天塞太多跨区景点</x:v>
      </x:c>
      <x:c r="D11" s="55" t="str">
        <x:v>AI按地点相似度排列，不计算坡度、排队和真实转场</x:v>
      </x:c>
      <x:c r="E11" s="55" t="str">
        <x:v>高</x:v>
      </x:c>
      <x:c r="F11" s="55" t="str">
        <x:v>高</x:v>
      </x:c>
      <x:c r="G11" s="55" t="str">
        <x:v>每天3—5个主节点；记录门到门和体力</x:v>
      </x:c>
      <x:c r="H11" s="55" t="str">
        <x:v>转场/坡度/排队/恢复</x:v>
      </x:c>
      <x:c r="I11" s="55" t="str">
        <x:v>海外游客</x:v>
      </x:c>
      <x:c r="J11" s="55" t="str">
        <x:v>https://www.reddit.com/r/travelchina/comments/1v4olqp/thoughts_on_my_chongqing_itinerary/</x:v>
      </x:c>
      <x:c r="K11" s="55" t="str">
        <x:v>https://www.reddit.com/r/travelchina/comments/1tto8t7/common_mistakes_i_keep_seeing_in_china_travel/</x:v>
      </x:c>
      <x:c r="L11" s="55" t="str">
        <x:v>整日实走</x:v>
      </x:c>
    </x:row>
    <x:row r="12">
      <x:c r="A12" s="55" t="str">
        <x:v>P07</x:v>
      </x:c>
      <x:c r="B12" s="55" t="str">
        <x:v>游览</x:v>
      </x:c>
      <x:c r="C12" s="55" t="str">
        <x:v>台阶、坡度和无障碍信息不足</x:v>
      </x:c>
      <x:c r="D12" s="55" t="str">
        <x:v>网页只写“步行”，不写连续爬升、湿滑和替代入口</x:v>
      </x:c>
      <x:c r="E12" s="55" t="str">
        <x:v>高</x:v>
      </x:c>
      <x:c r="F12" s="55" t="str">
        <x:v>中—高</x:v>
      </x:c>
      <x:c r="G12" s="55" t="str">
        <x:v>建立体力等级、台阶类型和低体力平行路线</x:v>
      </x:c>
      <x:c r="H12" s="55" t="str">
        <x:v>台阶/坡道/电梯/座椅</x:v>
      </x:c>
      <x:c r="I12" s="55" t="str">
        <x:v>海外游客</x:v>
      </x:c>
      <x:c r="J12" s="55" t="str">
        <x:v>https://www.reddit.com/r/travelchina/comments/1v4olqp/thoughts_on_my_chongqing_itinerary/</x:v>
      </x:c>
      <x:c r="K12" s="55" t="str">
        <x:v>https://www.reddit.com/r/China/comments/1qw4zvj/things_you_should_know_before_visiting_chongqing/</x:v>
      </x:c>
      <x:c r="L12" s="55" t="str">
        <x:v>低体力实测</x:v>
      </x:c>
    </x:row>
    <x:row r="13">
      <x:c r="A13" s="55" t="str">
        <x:v>P08</x:v>
      </x:c>
      <x:c r="B13" s="55" t="str">
        <x:v>游览</x:v>
      </x:c>
      <x:c r="C13" s="55" t="str">
        <x:v>洪崖洞内部花费时间但体验同质</x:v>
      </x:c>
      <x:c r="D13" s="55" t="str">
        <x:v>热门度掩盖内部商业化与最佳视角在外部</x:v>
      </x:c>
      <x:c r="E13" s="55" t="str">
        <x:v>中</x:v>
      </x:c>
      <x:c r="F13" s="55" t="str">
        <x:v>高</x:v>
      </x:c>
      <x:c r="G13" s="55" t="str">
        <x:v>明确“外观必去、内部限时”，给跨桥视角</x:v>
      </x:c>
      <x:c r="H13" s="55" t="str">
        <x:v>亮灯/人流/视角/出口</x:v>
      </x:c>
      <x:c r="I13" s="55" t="str">
        <x:v>官方+海外游客</x:v>
      </x:c>
      <x:c r="J13" s="55" t="str">
        <x:v>https://www.cq.gov.cn/zjcq/cycq/jplyxl/dsy/dsjp/202409/t20240905_13599455.html</x:v>
      </x:c>
      <x:c r="K13" s="55" t="str">
        <x:v>https://www.reddit.com/r/travelchina/comments/1v4olqp/thoughts_on_my_chongqing_itinerary/</x:v>
      </x:c>
      <x:c r="L13" s="55" t="str">
        <x:v>夜间实测</x:v>
      </x:c>
    </x:row>
    <x:row r="14">
      <x:c r="A14" s="55" t="str">
        <x:v>P09</x:v>
      </x:c>
      <x:c r="B14" s="55" t="str">
        <x:v>游览</x:v>
      </x:c>
      <x:c r="C14" s="55" t="str">
        <x:v>长江索道排队时间超过体验价值</x:v>
      </x:c>
      <x:c r="D14" s="55" t="str">
        <x:v>通用答案把索道列为必去，不设删除阈值</x:v>
      </x:c>
      <x:c r="E14" s="55" t="str">
        <x:v>中</x:v>
      </x:c>
      <x:c r="F14" s="55" t="str">
        <x:v>高</x:v>
      </x:c>
      <x:c r="G14" s="55" t="str">
        <x:v>设30分钟排队阈值；超过即改轨道或步行桥</x:v>
      </x:c>
      <x:c r="H14" s="55" t="str">
        <x:v>实时排队/停运/终点</x:v>
      </x:c>
      <x:c r="I14" s="55" t="str">
        <x:v>官方+海外游客</x:v>
      </x:c>
      <x:c r="J14" s="55" t="str">
        <x:v>https://www.cqsuodao.com/zhangjiangsuodao.html</x:v>
      </x:c>
      <x:c r="K14" s="55" t="str">
        <x:v>https://www.reddit.com/r/travelchina/comments/1v4olqp/thoughts_on_my_chongqing_itinerary/</x:v>
      </x:c>
      <x:c r="L14" s="55" t="str">
        <x:v>早晚实测</x:v>
      </x:c>
    </x:row>
    <x:row r="15">
      <x:c r="A15" s="55" t="str">
        <x:v>P10</x:v>
      </x:c>
      <x:c r="B15" s="55" t="str">
        <x:v>餐饮</x:v>
      </x:c>
      <x:c r="C15" s="55" t="str">
        <x:v>不会控制辣度、内脏、过敏与点菜份量</x:v>
      </x:c>
      <x:c r="D15" s="55" t="str">
        <x:v>翻译菜名不能解释锅底、油碟和点餐节奏</x:v>
      </x:c>
      <x:c r="E15" s="55" t="str">
        <x:v>高</x:v>
      </x:c>
      <x:c r="F15" s="55" t="str">
        <x:v>高</x:v>
      </x:c>
      <x:c r="G15" s="55" t="str">
        <x:v>建立英文点菜卡、禁忌清单与可信餐厅</x:v>
      </x:c>
      <x:c r="H15" s="55" t="str">
        <x:v>辣度/过敏/素食/卫生</x:v>
      </x:c>
      <x:c r="I15" s="55" t="str">
        <x:v>海外游客+供应商</x:v>
      </x:c>
      <x:c r="J15" s="55" t="str">
        <x:v>https://www.reddit.com/r/China/comments/1qw4zvj/things_you_should_know_before_visiting_chongqing/</x:v>
      </x:c>
      <x:c r="K15" s="55" t="str">
        <x:v>https://hughchongqing.com/city-experiences/food-tour/</x:v>
      </x:c>
      <x:c r="L15" s="55" t="str">
        <x:v>供应商试吃</x:v>
      </x:c>
    </x:row>
    <x:row r="16">
      <x:c r="A16" s="55" t="str">
        <x:v>P11</x:v>
      </x:c>
      <x:c r="B16" s="55" t="str">
        <x:v>信息</x:v>
      </x:c>
      <x:c r="C16" s="55" t="str">
        <x:v>微信小程序预约对护照和海外手机号不友好</x:v>
      </x:c>
      <x:c r="D16" s="55" t="str">
        <x:v>只给小程序名称，不说明证件类型、失败路径和人工窗口</x:v>
      </x:c>
      <x:c r="E16" s="55" t="str">
        <x:v>高</x:v>
      </x:c>
      <x:c r="F16" s="55" t="str">
        <x:v>中</x:v>
      </x:c>
      <x:c r="G16" s="55" t="str">
        <x:v>逐景点记录护照、手机号、支付和现场替代</x:v>
      </x:c>
      <x:c r="H16" s="55" t="str">
        <x:v>证件/手机号/支付/窗口</x:v>
      </x:c>
      <x:c r="I16" s="55" t="str">
        <x:v>官方+实测</x:v>
      </x:c>
      <x:c r="J16" s="55" t="str">
        <x:v>https://www.3gmuseum.cn/web/article/1430010139317059584/web/content_1430010139317059584.html</x:v>
      </x:c>
      <x:c r="K16" s="55" t="str">
        <x:v>https://www.dazu.gov.cn/qzfjz/smz/zwgk_53321/zfxxgkml/jczwgk_218260/ggwhfwlyjczwgk_1/ggfw/ggeljgml/202601/t20260105_15291915.html</x:v>
      </x:c>
      <x:c r="L16" s="55" t="str">
        <x:v>护照测试</x:v>
      </x:c>
    </x:row>
    <x:row r="17">
      <x:c r="A17" s="55" t="str">
        <x:v>P12</x:v>
      </x:c>
      <x:c r="B17" s="55" t="str">
        <x:v>沟通</x:v>
      </x:c>
      <x:c r="C17" s="55" t="str">
        <x:v>餐厅、茶馆和社区英语能力有限</x:v>
      </x:c>
      <x:c r="D17" s="55" t="str">
        <x:v>“有翻译App”不能替代复杂点菜和礼仪说明</x:v>
      </x:c>
      <x:c r="E17" s="55" t="str">
        <x:v>中</x:v>
      </x:c>
      <x:c r="F17" s="55" t="str">
        <x:v>高</x:v>
      </x:c>
      <x:c r="G17" s="55" t="str">
        <x:v>关键体验配置双语主理人；一般地点提供中文卡片</x:v>
      </x:c>
      <x:c r="H17" s="55" t="str">
        <x:v>英语/翻译/紧急联系</x:v>
      </x:c>
      <x:c r="I17" s="55" t="str">
        <x:v>海外游客+政策</x:v>
      </x:c>
      <x:c r="J17" s="55" t="str">
        <x:v>https://www.reddit.com/r/travelchina/comments/1oxtmu6/im_a_local_in_chongqing_here_to_answer_your/</x:v>
      </x:c>
      <x:c r="K17" s="55" t="str">
        <x:v>https://www.cq.gov.cn/zwgk/zfxxgkml/szfwj/qtgw/202607/t20260710_15814399_app.html</x:v>
      </x:c>
      <x:c r="L17" s="55" t="str">
        <x:v>英语接待测试</x:v>
      </x:c>
    </x:row>
    <x:row r="18">
      <x:c r="A18" s="55" t="str">
        <x:v>P13</x:v>
      </x:c>
      <x:c r="B18" s="55" t="str">
        <x:v>天气</x:v>
      </x:c>
      <x:c r="C18" s="55" t="str">
        <x:v>夏季高温、湿度和阵雨破坏路线</x:v>
      </x:c>
      <x:c r="D18" s="55" t="str">
        <x:v>按固定清单推荐，没有热暴露和恢复节点</x:v>
      </x:c>
      <x:c r="E18" s="55" t="str">
        <x:v>高</x:v>
      </x:c>
      <x:c r="F18" s="55" t="str">
        <x:v>季节性高</x:v>
      </x:c>
      <x:c r="G18" s="55" t="str">
        <x:v>夏季改早晚双峰；中午室内；补水与中暑提示</x:v>
      </x:c>
      <x:c r="H18" s="55" t="str">
        <x:v>温度/暴晒/室内替代</x:v>
      </x:c>
      <x:c r="I18" s="55" t="str">
        <x:v>海外游客</x:v>
      </x:c>
      <x:c r="J18" s="55" t="str">
        <x:v>https://www.reddit.com/r/China/comments/1qw4zvj/things_you_should_know_before_visiting_chongqing/</x:v>
      </x:c>
      <x:c r="K18" s="55" t="str">
        <x:v>https://www.reddit.com/r/travelchina/comments/1v4olqp/thoughts_on_my_chongqing_itinerary/</x:v>
      </x:c>
      <x:c r="L18" s="55" t="str">
        <x:v>夏季实走</x:v>
      </x:c>
    </x:row>
    <x:row r="19">
      <x:c r="A19" s="55" t="str">
        <x:v>P14</x:v>
      </x:c>
      <x:c r="B19" s="55" t="str">
        <x:v>行李</x:v>
      </x:c>
      <x:c r="C19" s="55" t="str">
        <x:v>山城老街酒店与民宿存在台阶和车辆无法抵达</x:v>
      </x:c>
      <x:c r="D19" s="55" t="str">
        <x:v>住宿平台距离不代表真实落客和搬运行李难度</x:v>
      </x:c>
      <x:c r="E19" s="55" t="str">
        <x:v>高</x:v>
      </x:c>
      <x:c r="F19" s="55" t="str">
        <x:v>中</x:v>
      </x:c>
      <x:c r="G19" s="55" t="str">
        <x:v>记录落客点、电梯、台阶、行李服务和雨天入口</x:v>
      </x:c>
      <x:c r="H19" s="55" t="str">
        <x:v>落客/台阶/电梯/前台</x:v>
      </x:c>
      <x:c r="I19" s="55" t="str">
        <x:v>专业媒体+实测</x:v>
      </x:c>
      <x:c r="J19" s="55" t="str">
        <x:v>https://www.wallpaper.com/travel/hotels/the-sunyata-renai-hall-hotel-chongqing-review</x:v>
      </x:c>
      <x:c r="K19" s="55" t="str">
        <x:v>https://www.reddit.com/r/travelchina/comments/1tto8t7/common_mistakes_i_keep_seeing_in_china_travel/</x:v>
      </x:c>
      <x:c r="L19" s="55" t="str">
        <x:v>酒店核验</x:v>
      </x:c>
    </x:row>
    <x:row r="20">
      <x:c r="A20" s="55" t="str">
        <x:v>P15</x:v>
      </x:c>
      <x:c r="B20" s="55" t="str">
        <x:v>城际</x:v>
      </x:c>
      <x:c r="C20" s="55" t="str">
        <x:v>武隆/大足一日游被低估转场和体力</x:v>
      </x:c>
      <x:c r="D20" s="55" t="str">
        <x:v>只显示景区游览时间，不计高铁站、接驳和排队</x:v>
      </x:c>
      <x:c r="E20" s="55" t="str">
        <x:v>高</x:v>
      </x:c>
      <x:c r="F20" s="55" t="str">
        <x:v>高</x:v>
      </x:c>
      <x:c r="G20" s="55" t="str">
        <x:v>公开门到门时间；大足与武隆不在同一天混搭</x:v>
      </x:c>
      <x:c r="H20" s="55" t="str">
        <x:v>车次/接驳/步数/天气</x:v>
      </x:c>
      <x:c r="I20" s="55" t="str">
        <x:v>官方+海外游客</x:v>
      </x:c>
      <x:c r="J20" s="55" t="str">
        <x:v>https://cqwl.gov.cn/bmjz_sites/bm/wlw/zwgk_98942/zfxxgkml/jczwgkzl/ggwhfwly/ggfw/ggwljgmd/202601/t20260104_15286062.html</x:v>
      </x:c>
      <x:c r="K20" s="55" t="str">
        <x:v>https://www.dazu.gov.cn/qzfjz/smz/zwgk_53321/zfxxgkml/jczwgk_218260/ggwhfwlyjczwgk_1/ggfw/ggeljgml/202601/t20260105_15291915.html</x:v>
      </x:c>
      <x:c r="L20" s="55" t="str">
        <x:v>完整实走</x:v>
      </x:c>
    </x:row>
    <x:row r="21">
      <x:c r="A21" s="56" t="str">
        <x:v>P16</x:v>
      </x:c>
      <x:c r="B21" s="56" t="str">
        <x:v>节假日</x:v>
      </x:c>
      <x:c r="C21" s="56" t="str">
        <x:v>高铁售罄、景点拥挤、营业变化</x:v>
      </x:c>
      <x:c r="D21" s="56" t="str">
        <x:v>静态推荐忽略中国节假日需求峰值</x:v>
      </x:c>
      <x:c r="E21" s="56" t="str">
        <x:v>高</x:v>
      </x:c>
      <x:c r="F21" s="56" t="str">
        <x:v>季节性高</x:v>
      </x:c>
      <x:c r="G21" s="56" t="str">
        <x:v>设置节假日禁售/替换规则和提前预订窗口</x:v>
      </x:c>
      <x:c r="H21" s="56" t="str">
        <x:v>节假日/余票/限流</x:v>
      </x:c>
      <x:c r="I21" s="56" t="str">
        <x:v>海外游客</x:v>
      </x:c>
      <x:c r="J21" s="56" t="str">
        <x:v>https://www.reddit.com/r/travelchina/comments/1tto8t7/common_mistakes_i_keep_seeing_in_china_travel/</x:v>
      </x:c>
      <x:c r="K21" s="56" t="str">
        <x:v>https://www.cq.gov.cn/zwgk/zfxxgkml/szfwj/qtgw/202607/t20260710_15814399_app.html</x:v>
      </x:c>
      <x:c r="L21" s="56" t="str">
        <x:v>建立日历</x:v>
      </x:c>
    </x:row>
  </x:sheetData>
  <x:mergeCells>
    <x:mergeCell ref="A1:H1"/>
    <x:mergeCell ref="A2:H2"/>
  </x:mergeCells>
  <x:conditionalFormatting sqref="E6:E205">
    <x:cfRule type="containsText" dxfId="9" priority="1" operator="containsText" text="高"/>
  </x:conditionalFormatting>
  <x:dataValidations count="1">
    <x:dataValidation type="list" sqref="E6:E205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78ed9af59846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34" hidden="0" customWidth="1"/>
    <x:col min="5" max="5" width="16" hidden="0" customWidth="1"/>
    <x:col min="6" max="6" width="18" hidden="0" customWidth="1"/>
    <x:col min="7" max="7" width="12" hidden="0" customWidth="1"/>
    <x:col min="8" max="8" width="12" hidden="0" customWidth="1"/>
    <x:col min="9" max="9" width="42" hidden="0" customWidth="1"/>
    <x:col min="10" max="10" width="34" hidden="0" customWidth="1"/>
    <x:col min="11" max="11" width="45" hidden="0" customWidth="1"/>
    <x:col min="12" max="12" width="22" hidden="0" customWidth="1"/>
    <x:col min="13" max="13" width="20" hidden="0" customWidth="1"/>
  </x:cols>
  <x:sheetData>
    <x:row r="1" ht="36" customHeight="1">
      <x:c r="A1" s="75" t="str">
        <x:v>供应商与合作对象候选池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2" ht="28" customHeight="1">
      <x:c r="A2" s="76" t="str">
        <x:v>出现于此表不等于推荐或合作。商业页面只证明“产品存在”，必须完成资质、英语、价格、影像权、安全与退款核验。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</x:row>
    <x:row r="5" ht="34" customHeight="1">
      <x:c r="A5" s="82" t="str">
        <x:v>候选ID</x:v>
      </x:c>
      <x:c r="B5" s="83" t="str">
        <x:v>名称</x:v>
      </x:c>
      <x:c r="C5" s="83" t="str">
        <x:v>类型</x:v>
      </x:c>
      <x:c r="D5" s="83" t="str">
        <x:v>可补足的产品模块</x:v>
      </x:c>
      <x:c r="E5" s="83" t="str">
        <x:v>公开语言</x:v>
      </x:c>
      <x:c r="F5" s="83" t="str">
        <x:v>公开形式</x:v>
      </x:c>
      <x:c r="G5" s="83" t="str">
        <x:v>广告风险</x:v>
      </x:c>
      <x:c r="H5" s="83" t="str">
        <x:v>当前状态</x:v>
      </x:c>
      <x:c r="I5" s="83" t="str">
        <x:v>必须核验</x:v>
      </x:c>
      <x:c r="J5" s="83" t="str">
        <x:v>淘汰触发</x:v>
      </x:c>
      <x:c r="K5" s="83" t="str">
        <x:v>公开来源</x:v>
      </x:c>
      <x:c r="L5" s="83" t="str">
        <x:v>联系结果</x:v>
      </x:c>
      <x:c r="M5" s="84" t="str">
        <x:v>下一步</x:v>
      </x:c>
    </x:row>
    <x:row r="6">
      <x:c r="A6" s="34" t="str">
        <x:v>S001</x:v>
      </x:c>
      <x:c r="B6" s="34" t="str">
        <x:v>Yedu</x:v>
      </x:c>
      <x:c r="C6" s="34" t="str">
        <x:v>步行向导/数字路书</x:v>
      </x:c>
      <x:c r="D6" s="34" t="str">
        <x:v>山城步道、城市历史、14km深度步行</x:v>
      </x:c>
      <x:c r="E6" s="34" t="str">
        <x:v>英/法/粤/普通话</x:v>
      </x:c>
      <x:c r="F6" s="34" t="str">
        <x:v>独立官网</x:v>
      </x:c>
      <x:c r="G6" s="34" t="str">
        <x:v>高</x:v>
      </x:c>
      <x:c r="H6" s="34" t="str">
        <x:v>候选</x:v>
      </x:c>
      <x:c r="I6" s="34" t="str">
        <x:v>执照、保险、真实带团、路线边界、分成</x:v>
      </x:c>
      <x:c r="J6" s="34" t="str">
        <x:v>无法出示资质或责任条款</x:v>
      </x:c>
      <x:c r="K6" s="34" t="str">
        <x:v>https://www.yedutrip.com/yedushop/p/chongqing-walking-tour</x:v>
      </x:c>
      <x:c r="L6" s="34" t="str"/>
      <x:c r="M6" s="34" t="str">
        <x:v>体验竞品并访谈</x:v>
      </x:c>
    </x:row>
    <x:row r="7">
      <x:c r="A7" s="55" t="str">
        <x:v>S002</x:v>
      </x:c>
      <x:c r="B7" s="55" t="str">
        <x:v>Chongqing Tours</x:v>
      </x:c>
      <x:c r="C7" s="55" t="str">
        <x:v>英文地接/食物团</x:v>
      </x:c>
      <x:c r="D7" s="55" t="str">
        <x:v>城市+食物7小时体验</x:v>
      </x:c>
      <x:c r="E7" s="55" t="str">
        <x:v>英语</x:v>
      </x:c>
      <x:c r="F7" s="55" t="str">
        <x:v>商业官网</x:v>
      </x:c>
      <x:c r="G7" s="55" t="str">
        <x:v>高</x:v>
      </x:c>
      <x:c r="H7" s="55" t="str">
        <x:v>候选</x:v>
      </x:c>
      <x:c r="I7" s="55" t="str">
        <x:v>旅行社资质、导游证、保险、团型、退款</x:v>
      </x:c>
      <x:c r="J7" s="55" t="str">
        <x:v>只有营销文案无真实运营证明</x:v>
      </x:c>
      <x:c r="K7" s="55" t="str">
        <x:v>https://www.chongqingtours.com/</x:v>
      </x:c>
      <x:c r="L7" s="55" t="str"/>
      <x:c r="M7" s="55" t="str">
        <x:v>索取正式报价</x:v>
      </x:c>
    </x:row>
    <x:row r="8">
      <x:c r="A8" s="55" t="str">
        <x:v>S003</x:v>
      </x:c>
      <x:c r="B8" s="55" t="str">
        <x:v>ChongqingTourGuide.com</x:v>
      </x:c>
      <x:c r="C8" s="55" t="str">
        <x:v>私人英文向导</x:v>
      </x:c>
      <x:c r="D8" s="55" t="str">
        <x:v>定制城市深度游</x:v>
      </x:c>
      <x:c r="E8" s="55" t="str">
        <x:v>英语</x:v>
      </x:c>
      <x:c r="F8" s="55" t="str">
        <x:v>商业官网</x:v>
      </x:c>
      <x:c r="G8" s="55" t="str">
        <x:v>高</x:v>
      </x:c>
      <x:c r="H8" s="55" t="str">
        <x:v>候选</x:v>
      </x:c>
      <x:c r="I8" s="55" t="str">
        <x:v>人员身份、资质、评价真实性、报价</x:v>
      </x:c>
      <x:c r="J8" s="55" t="str">
        <x:v>联系人与履约主体不清</x:v>
      </x:c>
      <x:c r="K8" s="55" t="str">
        <x:v>https://chongqingtourguide.com/</x:v>
      </x:c>
      <x:c r="L8" s="55" t="str"/>
      <x:c r="M8" s="55" t="str">
        <x:v>背景核验</x:v>
      </x:c>
    </x:row>
    <x:row r="9">
      <x:c r="A9" s="55" t="str">
        <x:v>S004</x:v>
      </x:c>
      <x:c r="B9" s="55" t="str">
        <x:v>Tao in Chongqing</x:v>
      </x:c>
      <x:c r="C9" s="55" t="str">
        <x:v>持证导游候选</x:v>
      </x:c>
      <x:c r="D9" s="55" t="str">
        <x:v>摄影、城市一日游、本地文化</x:v>
      </x:c>
      <x:c r="E9" s="55" t="str">
        <x:v>英语</x:v>
      </x:c>
      <x:c r="F9" s="55" t="str">
        <x:v>个人商业官网</x:v>
      </x:c>
      <x:c r="G9" s="55" t="str">
        <x:v>高</x:v>
      </x:c>
      <x:c r="H9" s="55" t="str">
        <x:v>候选</x:v>
      </x:c>
      <x:c r="I9" s="55" t="str">
        <x:v>导游证、旅行社合作主体、保险、影像权</x:v>
      </x:c>
      <x:c r="J9" s="55" t="str">
        <x:v>无法提供合法收款与合同</x:v>
      </x:c>
      <x:c r="K9" s="55" t="str">
        <x:v>https://taoinchongqing.com/</x:v>
      </x:c>
      <x:c r="L9" s="55" t="str"/>
      <x:c r="M9" s="55" t="str">
        <x:v>线上访谈</x:v>
      </x:c>
    </x:row>
    <x:row r="10">
      <x:c r="A10" s="55" t="str">
        <x:v>S005</x:v>
      </x:c>
      <x:c r="B10" s="55" t="str">
        <x:v>Hugh Chongqing</x:v>
      </x:c>
      <x:c r="C10" s="55" t="str">
        <x:v>食物团/司机</x:v>
      </x:c>
      <x:c r="D10" s="55" t="str">
        <x:v>观音桥食物与夜生活</x:v>
      </x:c>
      <x:c r="E10" s="55" t="str">
        <x:v>英语</x:v>
      </x:c>
      <x:c r="F10" s="55" t="str">
        <x:v>商业官网</x:v>
      </x:c>
      <x:c r="G10" s="55" t="str">
        <x:v>高</x:v>
      </x:c>
      <x:c r="H10" s="55" t="str">
        <x:v>候选</x:v>
      </x:c>
      <x:c r="I10" s="55" t="str">
        <x:v>餐厅清单、过敏规则、司机资质、报价</x:v>
      </x:c>
      <x:c r="J10" s="55" t="str">
        <x:v>餐饮安全与责任不清</x:v>
      </x:c>
      <x:c r="K10" s="55" t="str">
        <x:v>https://hughchongqing.com/city-experiences/food-tour/</x:v>
      </x:c>
      <x:c r="L10" s="55" t="str"/>
      <x:c r="M10" s="55" t="str">
        <x:v>体验竞品</x:v>
      </x:c>
    </x:row>
    <x:row r="11">
      <x:c r="A11" s="55" t="str">
        <x:v>S006</x:v>
      </x:c>
      <x:c r="B11" s="55" t="str">
        <x:v>Trippest</x:v>
      </x:c>
      <x:c r="C11" s="55" t="str">
        <x:v>步行产品平台</x:v>
      </x:c>
      <x:c r="D11" s="55" t="str">
        <x:v>山城巷或黄葛古道英文步行</x:v>
      </x:c>
      <x:c r="E11" s="55" t="str">
        <x:v>英语</x:v>
      </x:c>
      <x:c r="F11" s="55" t="str">
        <x:v>商业平台</x:v>
      </x:c>
      <x:c r="G11" s="55" t="str">
        <x:v>高</x:v>
      </x:c>
      <x:c r="H11" s="55" t="str">
        <x:v>候选</x:v>
      </x:c>
      <x:c r="I11" s="55" t="str">
        <x:v>实际履约方、佣金、取消、讲解质量</x:v>
      </x:c>
      <x:c r="J11" s="55" t="str">
        <x:v>平台与实际供应商信息不透明</x:v>
      </x:c>
      <x:c r="K11" s="55" t="str">
        <x:v>https://www.trippest.com/chongqing-tours/3-hour-walking-tour/</x:v>
      </x:c>
      <x:c r="L11" s="55" t="str"/>
      <x:c r="M11" s="55" t="str">
        <x:v>反查履约方</x:v>
      </x:c>
    </x:row>
    <x:row r="12">
      <x:c r="A12" s="55" t="str">
        <x:v>S007</x:v>
      </x:c>
      <x:c r="B12" s="55" t="str">
        <x:v>重庆川剧院/演出机构</x:v>
      </x:c>
      <x:c r="C12" s="55" t="str">
        <x:v>文化机构</x:v>
      </x:c>
      <x:c r="D12" s="55" t="str">
        <x:v>川剧演出、演前解释、互动体验</x:v>
      </x:c>
      <x:c r="E12" s="55" t="str">
        <x:v>待核验</x:v>
      </x:c>
      <x:c r="F12" s="55" t="str">
        <x:v>官方机构</x:v>
      </x:c>
      <x:c r="G12" s="55" t="str">
        <x:v>低</x:v>
      </x:c>
      <x:c r="H12" s="55" t="str">
        <x:v>候选</x:v>
      </x:c>
      <x:c r="I12" s="55" t="str">
        <x:v>英语、档期、团体价格、后台、影像权、安全</x:v>
      </x:c>
      <x:c r="J12" s="55" t="str">
        <x:v>只能看演出且无法形成差异化</x:v>
      </x:c>
      <x:c r="K12" s="55" t="str">
        <x:v>https://whlyw.cq.gov.cn/zwxx_221/bmdt/gzdt/202607/t20260713_15818348.html</x:v>
      </x:c>
      <x:c r="L12" s="55" t="str"/>
      <x:c r="M12" s="55" t="str">
        <x:v>正式联系</x:v>
      </x:c>
    </x:row>
    <x:row r="13">
      <x:c r="A13" s="55" t="str">
        <x:v>S008</x:v>
      </x:c>
      <x:c r="B13" s="55" t="str">
        <x:v>重庆湖广会馆</x:v>
      </x:c>
      <x:c r="C13" s="55" t="str">
        <x:v>文博/演出场地</x:v>
      </x:c>
      <x:c r="D13" s="55" t="str">
        <x:v>移民文化、建筑、戏台与讲解</x:v>
      </x:c>
      <x:c r="E13" s="55" t="str">
        <x:v>待核验</x:v>
      </x:c>
      <x:c r="F13" s="55" t="str">
        <x:v>官方景区</x:v>
      </x:c>
      <x:c r="G13" s="55" t="str">
        <x:v>低</x:v>
      </x:c>
      <x:c r="H13" s="55" t="str">
        <x:v>候选</x:v>
      </x:c>
      <x:c r="I13" s="55" t="str">
        <x:v>英文讲解、团体接待、非开放区、影像权</x:v>
      </x:c>
      <x:c r="J13" s="55" t="str">
        <x:v>无法提供英文/深度讲解</x:v>
      </x:c>
      <x:c r="K13" s="55" t="str">
        <x:v>https://whlyw.cq.gov.cn/zjwl/yzq/cqwlzy/zqwwzy/202405/t20240507_13182428.html</x:v>
      </x:c>
      <x:c r="L13" s="55" t="str"/>
      <x:c r="M13" s="55" t="str">
        <x:v>电话核验</x:v>
      </x:c>
    </x:row>
    <x:row r="14">
      <x:c r="A14" s="55" t="str">
        <x:v>S009</x:v>
      </x:c>
      <x:c r="B14" s="55" t="str">
        <x:v>大足石刻官方及讲解团队</x:v>
      </x:c>
      <x:c r="C14" s="55" t="str">
        <x:v>世界遗产景区</x:v>
      </x:c>
      <x:c r="D14" s="55" t="str">
        <x:v>文化版第5天核心交付</x:v>
      </x:c>
      <x:c r="E14" s="55" t="str">
        <x:v>待核验</x:v>
      </x:c>
      <x:c r="F14" s="55" t="str">
        <x:v>官方景区</x:v>
      </x:c>
      <x:c r="G14" s="55" t="str">
        <x:v>低</x:v>
      </x:c>
      <x:c r="H14" s="55" t="str">
        <x:v>候选</x:v>
      </x:c>
      <x:c r="I14" s="55" t="str">
        <x:v>英文讲解、护照购票、包车/接驳、团体政策</x:v>
      </x:c>
      <x:c r="J14" s="55" t="str">
        <x:v>英文解释质量不足且无替代</x:v>
      </x:c>
      <x:c r="K14" s="55" t="str">
        <x:v>https://www.dazu.gov.cn/qzfjz/smz/zwgk_53321/zfxxgkml/jczwgk_218260/ggwhfwlyjczwgk_1/ggfw/ggeljgml/202601/t20260105_15291915.html</x:v>
      </x:c>
      <x:c r="L14" s="55" t="str"/>
      <x:c r="M14" s="55" t="str">
        <x:v>电话核验</x:v>
      </x:c>
    </x:row>
    <x:row r="15">
      <x:c r="A15" s="55" t="str">
        <x:v>S010</x:v>
      </x:c>
      <x:c r="B15" s="55" t="str">
        <x:v>武隆景区及接驳方</x:v>
      </x:c>
      <x:c r="C15" s="55" t="str">
        <x:v>自然景区</x:v>
      </x:c>
      <x:c r="D15" s="55" t="str">
        <x:v>自然版第5天核心交付</x:v>
      </x:c>
      <x:c r="E15" s="55" t="str">
        <x:v>待核验</x:v>
      </x:c>
      <x:c r="F15" s="55" t="str">
        <x:v>官方景区</x:v>
      </x:c>
      <x:c r="G15" s="55" t="str">
        <x:v>低</x:v>
      </x:c>
      <x:c r="H15" s="55" t="str">
        <x:v>候选</x:v>
      </x:c>
      <x:c r="I15" s="55" t="str">
        <x:v>护照购票、英文、步行量、残障、接驳</x:v>
      </x:c>
      <x:c r="J15" s="55" t="str">
        <x:v>天气与体力信息无法标准化</x:v>
      </x:c>
      <x:c r="K15" s="55" t="str">
        <x:v>https://cqwl.gov.cn/bmjz_sites/bm/wlw/zwgk_98942/zfxxgkml/jczwgkzl/ggwhfwly/ggfw/ggwljgmd/202601/t20260104_15286062.html</x:v>
      </x:c>
      <x:c r="L15" s="55" t="str"/>
      <x:c r="M15" s="55" t="str">
        <x:v>电话核验</x:v>
      </x:c>
    </x:row>
    <x:row r="16">
      <x:c r="A16" s="55" t="str">
        <x:v>S011</x:v>
      </x:c>
      <x:c r="B16" s="55" t="str">
        <x:v>既下山·重庆山城巷仁爱堂</x:v>
      </x:c>
      <x:c r="C16" s="55" t="str">
        <x:v>住宿/B2B潜在伙伴</x:v>
      </x:c>
      <x:c r="D16" s="55" t="str">
        <x:v>历史建筑住宿、行李与社区体验</x:v>
      </x:c>
      <x:c r="E16" s="55" t="str">
        <x:v>基础英语待核验</x:v>
      </x:c>
      <x:c r="F16" s="55" t="str">
        <x:v>专业媒体报道</x:v>
      </x:c>
      <x:c r="G16" s="55" t="str">
        <x:v>中</x:v>
      </x:c>
      <x:c r="H16" s="55" t="str">
        <x:v>候选</x:v>
      </x:c>
      <x:c r="I16" s="55" t="str">
        <x:v>外国人登记、落客、行李、英语、B2B意愿</x:v>
      </x:c>
      <x:c r="J16" s="55" t="str">
        <x:v>到店交通与语言无法稳定交付</x:v>
      </x:c>
      <x:c r="K16" s="55" t="str">
        <x:v>https://www.wallpaper.com/travel/hotels/the-sunyata-renai-hall-hotel-chongqing-review</x:v>
      </x:c>
      <x:c r="L16" s="55" t="str"/>
      <x:c r="M16" s="55" t="str">
        <x:v>酒店访谈</x:v>
      </x:c>
    </x:row>
    <x:row r="17">
      <x:c r="A17" s="56" t="str">
        <x:v>S012</x:v>
      </x:c>
      <x:c r="B17" s="56" t="str">
        <x:v>持证入境旅行社（待筛选）</x:v>
      </x:c>
      <x:c r="C17" s="56" t="str">
        <x:v>合规承接主体</x:v>
      </x:c>
      <x:c r="D17" s="56" t="str">
        <x:v>组合报价、收款、保险、用车与合同</x:v>
      </x:c>
      <x:c r="E17" s="56" t="str">
        <x:v>必须英语</x:v>
      </x:c>
      <x:c r="F17" s="56" t="str">
        <x:v>待调研</x:v>
      </x:c>
      <x:c r="G17" s="56" t="str">
        <x:v>未知</x:v>
      </x:c>
      <x:c r="H17" s="56" t="str">
        <x:v>待建池</x:v>
      </x:c>
      <x:c r="I17" s="56" t="str">
        <x:v>国内+入境资质、责任险、外币/外卡、投诉</x:v>
      </x:c>
      <x:c r="J17" s="56" t="str">
        <x:v>资质不全或只做传统大团</x:v>
      </x:c>
      <x:c r="K17" s="56" t="str"/>
      <x:c r="L17" s="56" t="str"/>
      <x:c r="M17" s="56" t="str">
        <x:v>建立5家名单</x:v>
      </x:c>
    </x:row>
  </x:sheetData>
  <x:mergeCells>
    <x:mergeCell ref="A1:H1"/>
    <x:mergeCell ref="A2:H2"/>
  </x:mergeCells>
  <x:conditionalFormatting sqref="H6:H205">
    <x:cfRule type="containsText" dxfId="10" priority="1" operator="containsText" text="淘汰"/>
    <x:cfRule type="containsText" dxfId="11" priority="2" operator="containsText" text="合作"/>
  </x:conditionalFormatting>
  <x:dataValidations count="1">
    <x:dataValidation type="list" sqref="H6:H205">
      <x:formula1>"待建池,候选,已联系,已核验,试用,合作,淘汰"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4c978f41a46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2" hidden="0" customWidth="1"/>
    <x:col min="5" max="5" width="34" hidden="0" customWidth="1"/>
    <x:col min="6" max="6" width="28" hidden="0" customWidth="1"/>
    <x:col min="7" max="7" width="14" hidden="0" customWidth="1"/>
    <x:col min="8" max="8" width="14" hidden="0" customWidth="1"/>
    <x:col min="9" max="9" width="24" hidden="0" customWidth="1"/>
    <x:col min="10" max="10" width="18" hidden="0" customWidth="1"/>
  </x:cols>
  <x:sheetData>
    <x:row r="1" ht="36" customHeight="1">
      <x:c r="A1" s="75" t="str">
        <x:v>产品决策记录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 ht="28" customHeight="1">
      <x:c r="A2" s="76" t="str">
        <x:v>把“为什么收录/删除”变成可积累资产。你的判断会覆盖我的默认建议，但保留版本和理由。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</x:row>
    <x:row r="5" ht="34" customHeight="1">
      <x:c r="A5" s="82" t="str">
        <x:v>决策ID</x:v>
      </x:c>
      <x:c r="B5" s="83" t="str">
        <x:v>问题</x:v>
      </x:c>
      <x:c r="C5" s="83" t="str">
        <x:v>我的建议</x:v>
      </x:c>
      <x:c r="D5" s="83" t="str">
        <x:v>理由</x:v>
      </x:c>
      <x:c r="E5" s="83" t="str">
        <x:v>不采用的代价</x:v>
      </x:c>
      <x:c r="F5" s="83" t="str">
        <x:v>你的决定</x:v>
      </x:c>
      <x:c r="G5" s="83" t="str">
        <x:v>状态</x:v>
      </x:c>
      <x:c r="H5" s="83" t="str">
        <x:v>决定日期</x:v>
      </x:c>
      <x:c r="I5" s="83" t="str">
        <x:v>影响范围</x:v>
      </x:c>
      <x:c r="J5" s="84" t="str">
        <x:v>下一次复盘</x:v>
      </x:c>
    </x:row>
    <x:row r="6">
      <x:c r="A6" s="34" t="str">
        <x:v>D001</x:v>
      </x:c>
      <x:c r="B6" s="34" t="str">
        <x:v>第5天主线：大足还是武隆？</x:v>
      </x:c>
      <x:c r="C6" s="34" t="str">
        <x:v>大足为深度文化版主线；武隆为自然版替换</x:v>
      </x:c>
      <x:c r="D6" s="34" t="str">
        <x:v>大足更稀缺、更适合讲解和高客单；武隆更有大众传播力</x:v>
      </x:c>
      <x:c r="E6" s="34" t="str">
        <x:v>只选武隆会接近通用攻略；只选大足会损失自然热度</x:v>
      </x:c>
      <x:c r="F6" s="34" t="str"/>
      <x:c r="G6" s="34" t="str">
        <x:v>待你判断</x:v>
      </x:c>
      <x:c r="H6" s="71" t="str"/>
      <x:c r="I6" s="34" t="str">
        <x:v>路线/定位/供应链</x:v>
      </x:c>
      <x:c r="J6" s="34" t="str">
        <x:v>首轮实走后</x:v>
      </x:c>
    </x:row>
    <x:row r="7">
      <x:c r="A7" s="55" t="str">
        <x:v>D002</x:v>
      </x:c>
      <x:c r="B7" s="55" t="str">
        <x:v>住宿基地区域</x:v>
      </x:c>
      <x:c r="C7" s="55" t="str">
        <x:v>首次来渝用解放碑/小什字；二次来访或夜生活用观音桥</x:v>
      </x:c>
      <x:c r="D7" s="55" t="str">
        <x:v>第一次需要步行便利和城市冲击；观音桥更本地但转场多</x:v>
      </x:c>
      <x:c r="E7" s="55" t="str">
        <x:v>选错基地区域会放大高差和打车成本</x:v>
      </x:c>
      <x:c r="F7" s="55" t="str"/>
      <x:c r="G7" s="55" t="str">
        <x:v>待你判断</x:v>
      </x:c>
      <x:c r="H7" s="72" t="str"/>
      <x:c r="I7" s="55" t="str">
        <x:v>住宿/B2B/路线</x:v>
      </x:c>
      <x:c r="J7" s="55" t="str">
        <x:v>酒店核验后</x:v>
      </x:c>
    </x:row>
    <x:row r="8">
      <x:c r="A8" s="55" t="str">
        <x:v>D003</x:v>
      </x:c>
      <x:c r="B8" s="55" t="str">
        <x:v>每天节点数量</x:v>
      </x:c>
      <x:c r="C8" s="55" t="str">
        <x:v>3—5个主节点，餐饮与休息算正式节点</x:v>
      </x:c>
      <x:c r="D8" s="55" t="str">
        <x:v>重庆的坡度、天气和转场会让8—12点路线失真</x:v>
      </x:c>
      <x:c r="E8" s="55" t="str">
        <x:v>看起来内容少，但交付稳定性更高</x:v>
      </x:c>
      <x:c r="F8" s="55" t="str"/>
      <x:c r="G8" s="55" t="str">
        <x:v>建议通过</x:v>
      </x:c>
      <x:c r="H8" s="72" t="str"/>
      <x:c r="I8" s="55" t="str">
        <x:v>全部路书</x:v>
      </x:c>
      <x:c r="J8" s="55" t="str">
        <x:v>用户测试后</x:v>
      </x:c>
    </x:row>
    <x:row r="9">
      <x:c r="A9" s="55" t="str">
        <x:v>D004</x:v>
      </x:c>
      <x:c r="B9" s="55" t="str">
        <x:v>洪崖洞的定位</x:v>
      </x:c>
      <x:c r="C9" s="55" t="str">
        <x:v>外观必去、内部限时，不做购物推荐</x:v>
      </x:c>
      <x:c r="D9" s="55" t="str">
        <x:v>真正价值在外部整体和城市高差，内部商业噪音高</x:v>
      </x:c>
      <x:c r="E9" s="55" t="str">
        <x:v>可能与大众“必逛内部”的期待冲突</x:v>
      </x:c>
      <x:c r="F9" s="55" t="str"/>
      <x:c r="G9" s="55" t="str">
        <x:v>建议通过</x:v>
      </x:c>
      <x:c r="H9" s="72" t="str"/>
      <x:c r="I9" s="55" t="str">
        <x:v>D1/营销内容</x:v>
      </x:c>
      <x:c r="J9" s="55" t="str">
        <x:v>夜间实测后</x:v>
      </x:c>
    </x:row>
    <x:row r="10">
      <x:c r="A10" s="55" t="str">
        <x:v>D005</x:v>
      </x:c>
      <x:c r="B10" s="55" t="str">
        <x:v>十八梯与下浩里是否都做主节点</x:v>
      </x:c>
      <x:c r="C10" s="55" t="str">
        <x:v>下浩里主节点；十八梯只作比较/连接</x:v>
      </x:c>
      <x:c r="D10" s="55" t="str">
        <x:v>内容重叠，十八梯商业化更强</x:v>
      </x:c>
      <x:c r="E10" s="55" t="str">
        <x:v>减少一个知名打卡点</x:v>
      </x:c>
      <x:c r="F10" s="55" t="str"/>
      <x:c r="G10" s="55" t="str">
        <x:v>建议通过</x:v>
      </x:c>
      <x:c r="H10" s="72" t="str"/>
      <x:c r="I10" s="55" t="str">
        <x:v>D2/D4</x:v>
      </x:c>
      <x:c r="J10" s="55" t="str">
        <x:v>实走后</x:v>
      </x:c>
    </x:row>
    <x:row r="11">
      <x:c r="A11" s="55" t="str">
        <x:v>D006</x:v>
      </x:c>
      <x:c r="B11" s="55" t="str">
        <x:v>是否做低台阶/亲子版本</x:v>
      </x:c>
      <x:c r="C11" s="55" t="str">
        <x:v>第二轮单独做，不在主路线里用括号堆砌</x:v>
      </x:c>
      <x:c r="D11" s="55" t="str">
        <x:v>低体力路线需要不同入口、交通和停留逻辑</x:v>
      </x:c>
      <x:c r="E11" s="55" t="str">
        <x:v>开发量增加约30%—40%</x:v>
      </x:c>
      <x:c r="F11" s="55" t="str"/>
      <x:c r="G11" s="55" t="str">
        <x:v>待你判断</x:v>
      </x:c>
      <x:c r="H11" s="72" t="str"/>
      <x:c r="I11" s="55" t="str">
        <x:v>产品版本</x:v>
      </x:c>
      <x:c r="J11" s="55" t="str">
        <x:v>主线完成后</x:v>
      </x:c>
    </x:row>
    <x:row r="12">
      <x:c r="A12" s="55" t="str">
        <x:v>D007</x:v>
      </x:c>
      <x:c r="B12" s="55" t="str">
        <x:v>火锅是否作为可预约产品</x:v>
      </x:c>
      <x:c r="C12" s="55" t="str">
        <x:v>是；从餐厅推荐升级为双语点菜与文化解释</x:v>
      </x:c>
      <x:c r="D12" s="55" t="str">
        <x:v>食物是重庆最强的社交体验，但外国人摩擦也最高</x:v>
      </x:c>
      <x:c r="E12" s="55" t="str">
        <x:v>需要供应商、过敏和责任规则</x:v>
      </x:c>
      <x:c r="F12" s="55" t="str"/>
      <x:c r="G12" s="55" t="str">
        <x:v>待你判断</x:v>
      </x:c>
      <x:c r="H12" s="72" t="str"/>
      <x:c r="I12" s="55" t="str">
        <x:v>供应链/高客单</x:v>
      </x:c>
      <x:c r="J12" s="55" t="str">
        <x:v>试吃后</x:v>
      </x:c>
    </x:row>
    <x:row r="13">
      <x:c r="A13" s="55" t="str">
        <x:v>D008</x:v>
      </x:c>
      <x:c r="B13" s="55" t="str">
        <x:v>川剧是否进入重庆主产品</x:v>
      </x:c>
      <x:c r="C13" s="55" t="str">
        <x:v>进入雨天/夜间模块，但前提是英文和互动</x:v>
      </x:c>
      <x:c r="D13" s="55" t="str">
        <x:v>能补足文化深度并改善雨天交付</x:v>
      </x:c>
      <x:c r="E13" s="55" t="str">
        <x:v>若只有变脸拼盘会显得商业化</x:v>
      </x:c>
      <x:c r="F13" s="55" t="str"/>
      <x:c r="G13" s="55" t="str">
        <x:v>待你判断</x:v>
      </x:c>
      <x:c r="H13" s="72" t="str"/>
      <x:c r="I13" s="55" t="str">
        <x:v>体验/B2B</x:v>
      </x:c>
      <x:c r="J13" s="55" t="str">
        <x:v>机构访谈后</x:v>
      </x:c>
    </x:row>
    <x:row r="14">
      <x:c r="A14" s="55" t="str">
        <x:v>D009</x:v>
      </x:c>
      <x:c r="B14" s="55" t="str">
        <x:v>磁器口是否保留</x:v>
      </x:c>
      <x:c r="C14" s="55" t="str">
        <x:v>保留为早晨/非遗定向模块，不进默认5天主线</x:v>
      </x:c>
      <x:c r="D14" s="55" t="str">
        <x:v>官方文化价值高，但主街商业化和客流代价大</x:v>
      </x:c>
      <x:c r="E14" s="55" t="str">
        <x:v>可能错过首次游客的知名期待</x:v>
      </x:c>
      <x:c r="F14" s="55" t="str"/>
      <x:c r="G14" s="55" t="str">
        <x:v>待你判断</x:v>
      </x:c>
      <x:c r="H14" s="72" t="str"/>
      <x:c r="I14" s="55" t="str">
        <x:v>可选模块</x:v>
      </x:c>
      <x:c r="J14" s="55" t="str">
        <x:v>早晨实走后</x:v>
      </x:c>
    </x:row>
    <x:row r="15">
      <x:c r="A15" s="56" t="str">
        <x:v>D010</x:v>
      </x:c>
      <x:c r="B15" s="56" t="str">
        <x:v>产品核心叙事</x:v>
      </x:c>
      <x:c r="C15" s="56" t="str">
        <x:v>“城市如何运转”优先于“赛博朋克打卡”</x:v>
      </x:c>
      <x:c r="D15" s="56" t="str">
        <x:v>海外流量由视觉进入，但付费靠解释、顺路和可执行</x:v>
      </x:c>
      <x:c r="E15" s="56" t="str">
        <x:v>营销钩子仍需保留夜景与单轨</x:v>
      </x:c>
      <x:c r="F15" s="56" t="str"/>
      <x:c r="G15" s="56" t="str">
        <x:v>建议通过</x:v>
      </x:c>
      <x:c r="H15" s="73" t="str"/>
      <x:c r="I15" s="56" t="str">
        <x:v>品牌/内容/路书</x:v>
      </x:c>
      <x:c r="J15" s="56" t="str">
        <x:v>用户访谈后</x:v>
      </x:c>
    </x:row>
    <x:row r="16">
      <x:c r="A16" s="77"/>
      <x:c r="B16" s="77"/>
      <x:c r="C16" s="77"/>
      <x:c r="D16" s="77"/>
      <x:c r="E16" s="77"/>
      <x:c r="F16" s="77"/>
      <x:c r="G16" s="77"/>
      <x:c r="H16" s="86"/>
      <x:c r="I16" s="77"/>
      <x:c r="J16" s="77"/>
    </x:row>
    <x:row r="17">
      <x:c r="A17" s="77"/>
      <x:c r="B17" s="77"/>
      <x:c r="C17" s="77"/>
      <x:c r="D17" s="77"/>
      <x:c r="E17" s="77"/>
      <x:c r="F17" s="77"/>
      <x:c r="G17" s="77"/>
      <x:c r="H17" s="86"/>
      <x:c r="I17" s="77"/>
      <x:c r="J17" s="77"/>
    </x:row>
    <x:row r="18">
      <x:c r="A18" s="77"/>
      <x:c r="B18" s="77"/>
      <x:c r="C18" s="77"/>
      <x:c r="D18" s="77"/>
      <x:c r="E18" s="77"/>
      <x:c r="F18" s="77"/>
      <x:c r="G18" s="77"/>
      <x:c r="H18" s="86"/>
      <x:c r="I18" s="77"/>
      <x:c r="J18" s="77"/>
    </x:row>
    <x:row r="19">
      <x:c r="A19" s="77"/>
      <x:c r="B19" s="77"/>
      <x:c r="C19" s="77"/>
      <x:c r="D19" s="77"/>
      <x:c r="E19" s="77"/>
      <x:c r="F19" s="77"/>
      <x:c r="G19" s="77"/>
      <x:c r="H19" s="86"/>
      <x:c r="I19" s="77"/>
      <x:c r="J19" s="77"/>
    </x:row>
    <x:row r="20">
      <x:c r="A20" s="77"/>
      <x:c r="B20" s="77"/>
      <x:c r="C20" s="77"/>
      <x:c r="D20" s="77"/>
      <x:c r="E20" s="77"/>
      <x:c r="F20" s="77"/>
      <x:c r="G20" s="77"/>
      <x:c r="H20" s="86"/>
      <x:c r="I20" s="77"/>
      <x:c r="J20" s="77"/>
    </x:row>
    <x:row r="21">
      <x:c r="A21" s="77"/>
      <x:c r="B21" s="77"/>
      <x:c r="C21" s="77"/>
      <x:c r="D21" s="77"/>
      <x:c r="E21" s="77"/>
      <x:c r="F21" s="77"/>
      <x:c r="G21" s="77"/>
      <x:c r="H21" s="86"/>
      <x:c r="I21" s="77"/>
      <x:c r="J21" s="77"/>
    </x:row>
    <x:row r="22">
      <x:c r="A22" s="77"/>
      <x:c r="B22" s="77"/>
      <x:c r="C22" s="77"/>
      <x:c r="D22" s="77"/>
      <x:c r="E22" s="77"/>
      <x:c r="F22" s="77"/>
      <x:c r="G22" s="77"/>
      <x:c r="H22" s="86"/>
      <x:c r="I22" s="77"/>
      <x:c r="J22" s="77"/>
    </x:row>
    <x:row r="23">
      <x:c r="A23" s="77"/>
      <x:c r="B23" s="77"/>
      <x:c r="C23" s="77"/>
      <x:c r="D23" s="77"/>
      <x:c r="E23" s="77"/>
      <x:c r="F23" s="77"/>
      <x:c r="G23" s="77"/>
      <x:c r="H23" s="86"/>
      <x:c r="I23" s="77"/>
      <x:c r="J23" s="77"/>
    </x:row>
    <x:row r="24">
      <x:c r="A24" s="77"/>
      <x:c r="B24" s="77"/>
      <x:c r="C24" s="77"/>
      <x:c r="D24" s="77"/>
      <x:c r="E24" s="77"/>
      <x:c r="F24" s="77"/>
      <x:c r="G24" s="77"/>
      <x:c r="H24" s="86"/>
      <x:c r="I24" s="77"/>
      <x:c r="J24" s="77"/>
    </x:row>
    <x:row r="25">
      <x:c r="A25" s="77"/>
      <x:c r="B25" s="77"/>
      <x:c r="C25" s="77"/>
      <x:c r="D25" s="77"/>
      <x:c r="E25" s="77"/>
      <x:c r="F25" s="77"/>
      <x:c r="G25" s="77"/>
      <x:c r="H25" s="86"/>
      <x:c r="I25" s="77"/>
      <x:c r="J25" s="77"/>
    </x:row>
    <x:row r="26">
      <x:c r="A26" s="77"/>
      <x:c r="B26" s="77"/>
      <x:c r="C26" s="77"/>
      <x:c r="D26" s="77"/>
      <x:c r="E26" s="77"/>
      <x:c r="F26" s="77"/>
      <x:c r="G26" s="77"/>
      <x:c r="H26" s="86"/>
      <x:c r="I26" s="77"/>
      <x:c r="J26" s="77"/>
    </x:row>
    <x:row r="27">
      <x:c r="A27" s="77"/>
      <x:c r="B27" s="77"/>
      <x:c r="C27" s="77"/>
      <x:c r="D27" s="77"/>
      <x:c r="E27" s="77"/>
      <x:c r="F27" s="77"/>
      <x:c r="G27" s="77"/>
      <x:c r="H27" s="86"/>
      <x:c r="I27" s="77"/>
      <x:c r="J27" s="77"/>
    </x:row>
    <x:row r="28">
      <x:c r="A28" s="77"/>
      <x:c r="B28" s="77"/>
      <x:c r="C28" s="77"/>
      <x:c r="D28" s="77"/>
      <x:c r="E28" s="77"/>
      <x:c r="F28" s="77"/>
      <x:c r="G28" s="77"/>
      <x:c r="H28" s="86"/>
      <x:c r="I28" s="77"/>
      <x:c r="J28" s="77"/>
    </x:row>
    <x:row r="29">
      <x:c r="A29" s="77"/>
      <x:c r="B29" s="77"/>
      <x:c r="C29" s="77"/>
      <x:c r="D29" s="77"/>
      <x:c r="E29" s="77"/>
      <x:c r="F29" s="77"/>
      <x:c r="G29" s="77"/>
      <x:c r="H29" s="86"/>
      <x:c r="I29" s="77"/>
      <x:c r="J29" s="77"/>
    </x:row>
    <x:row r="30">
      <x:c r="A30" s="77"/>
      <x:c r="B30" s="77"/>
      <x:c r="C30" s="77"/>
      <x:c r="D30" s="77"/>
      <x:c r="E30" s="77"/>
      <x:c r="F30" s="77"/>
      <x:c r="G30" s="77"/>
      <x:c r="H30" s="86"/>
      <x:c r="I30" s="77"/>
      <x:c r="J30" s="77"/>
    </x:row>
    <x:row r="31">
      <x:c r="A31" s="77"/>
      <x:c r="B31" s="77"/>
      <x:c r="C31" s="77"/>
      <x:c r="D31" s="77"/>
      <x:c r="E31" s="77"/>
      <x:c r="F31" s="77"/>
      <x:c r="G31" s="77"/>
      <x:c r="H31" s="86"/>
      <x:c r="I31" s="77"/>
      <x:c r="J31" s="77"/>
    </x:row>
    <x:row r="32">
      <x:c r="A32" s="77"/>
      <x:c r="B32" s="77"/>
      <x:c r="C32" s="77"/>
      <x:c r="D32" s="77"/>
      <x:c r="E32" s="77"/>
      <x:c r="F32" s="77"/>
      <x:c r="G32" s="77"/>
      <x:c r="H32" s="86"/>
      <x:c r="I32" s="77"/>
      <x:c r="J32" s="77"/>
    </x:row>
    <x:row r="33">
      <x:c r="A33" s="77"/>
      <x:c r="B33" s="77"/>
      <x:c r="C33" s="77"/>
      <x:c r="D33" s="77"/>
      <x:c r="E33" s="77"/>
      <x:c r="F33" s="77"/>
      <x:c r="G33" s="77"/>
      <x:c r="H33" s="86"/>
      <x:c r="I33" s="77"/>
      <x:c r="J33" s="77"/>
    </x:row>
    <x:row r="34">
      <x:c r="A34" s="77"/>
      <x:c r="B34" s="77"/>
      <x:c r="C34" s="77"/>
      <x:c r="D34" s="77"/>
      <x:c r="E34" s="77"/>
      <x:c r="F34" s="77"/>
      <x:c r="G34" s="77"/>
      <x:c r="H34" s="86"/>
      <x:c r="I34" s="77"/>
      <x:c r="J34" s="77"/>
    </x:row>
    <x:row r="35">
      <x:c r="A35" s="77"/>
      <x:c r="B35" s="77"/>
      <x:c r="C35" s="77"/>
      <x:c r="D35" s="77"/>
      <x:c r="E35" s="77"/>
      <x:c r="F35" s="77"/>
      <x:c r="G35" s="77"/>
      <x:c r="H35" s="86"/>
      <x:c r="I35" s="77"/>
      <x:c r="J35" s="77"/>
    </x:row>
    <x:row r="36">
      <x:c r="A36" s="77"/>
      <x:c r="B36" s="77"/>
      <x:c r="C36" s="77"/>
      <x:c r="D36" s="77"/>
      <x:c r="E36" s="77"/>
      <x:c r="F36" s="77"/>
      <x:c r="G36" s="77"/>
      <x:c r="H36" s="86"/>
      <x:c r="I36" s="77"/>
      <x:c r="J36" s="77"/>
    </x:row>
    <x:row r="37">
      <x:c r="A37" s="77"/>
      <x:c r="B37" s="77"/>
      <x:c r="C37" s="77"/>
      <x:c r="D37" s="77"/>
      <x:c r="E37" s="77"/>
      <x:c r="F37" s="77"/>
      <x:c r="G37" s="77"/>
      <x:c r="H37" s="86"/>
      <x:c r="I37" s="77"/>
      <x:c r="J37" s="77"/>
    </x:row>
    <x:row r="38">
      <x:c r="A38" s="77"/>
      <x:c r="B38" s="77"/>
      <x:c r="C38" s="77"/>
      <x:c r="D38" s="77"/>
      <x:c r="E38" s="77"/>
      <x:c r="F38" s="77"/>
      <x:c r="G38" s="77"/>
      <x:c r="H38" s="86"/>
      <x:c r="I38" s="77"/>
      <x:c r="J38" s="77"/>
    </x:row>
    <x:row r="39">
      <x:c r="A39" s="77"/>
      <x:c r="B39" s="77"/>
      <x:c r="C39" s="77"/>
      <x:c r="D39" s="77"/>
      <x:c r="E39" s="77"/>
      <x:c r="F39" s="77"/>
      <x:c r="G39" s="77"/>
      <x:c r="H39" s="86"/>
      <x:c r="I39" s="77"/>
      <x:c r="J39" s="77"/>
    </x:row>
    <x:row r="40">
      <x:c r="A40" s="77"/>
      <x:c r="B40" s="77"/>
      <x:c r="C40" s="77"/>
      <x:c r="D40" s="77"/>
      <x:c r="E40" s="77"/>
      <x:c r="F40" s="77"/>
      <x:c r="G40" s="77"/>
      <x:c r="H40" s="86"/>
      <x:c r="I40" s="77"/>
      <x:c r="J40" s="77"/>
    </x:row>
    <x:row r="41">
      <x:c r="A41" s="77"/>
      <x:c r="B41" s="77"/>
      <x:c r="C41" s="77"/>
      <x:c r="D41" s="77"/>
      <x:c r="E41" s="77"/>
      <x:c r="F41" s="77"/>
      <x:c r="G41" s="77"/>
      <x:c r="H41" s="86"/>
      <x:c r="I41" s="77"/>
      <x:c r="J41" s="77"/>
    </x:row>
    <x:row r="42">
      <x:c r="A42" s="77"/>
      <x:c r="B42" s="77"/>
      <x:c r="C42" s="77"/>
      <x:c r="D42" s="77"/>
      <x:c r="E42" s="77"/>
      <x:c r="F42" s="77"/>
      <x:c r="G42" s="77"/>
      <x:c r="H42" s="86"/>
      <x:c r="I42" s="77"/>
      <x:c r="J42" s="77"/>
    </x:row>
    <x:row r="43">
      <x:c r="A43" s="77"/>
      <x:c r="B43" s="77"/>
      <x:c r="C43" s="77"/>
      <x:c r="D43" s="77"/>
      <x:c r="E43" s="77"/>
      <x:c r="F43" s="77"/>
      <x:c r="G43" s="77"/>
      <x:c r="H43" s="86"/>
      <x:c r="I43" s="77"/>
      <x:c r="J43" s="77"/>
    </x:row>
    <x:row r="44">
      <x:c r="A44" s="77"/>
      <x:c r="B44" s="77"/>
      <x:c r="C44" s="77"/>
      <x:c r="D44" s="77"/>
      <x:c r="E44" s="77"/>
      <x:c r="F44" s="77"/>
      <x:c r="G44" s="77"/>
      <x:c r="H44" s="86"/>
      <x:c r="I44" s="77"/>
      <x:c r="J44" s="77"/>
    </x:row>
    <x:row r="45">
      <x:c r="A45" s="77"/>
      <x:c r="B45" s="77"/>
      <x:c r="C45" s="77"/>
      <x:c r="D45" s="77"/>
      <x:c r="E45" s="77"/>
      <x:c r="F45" s="77"/>
      <x:c r="G45" s="77"/>
      <x:c r="H45" s="86"/>
      <x:c r="I45" s="77"/>
      <x:c r="J45" s="77"/>
    </x:row>
    <x:row r="46">
      <x:c r="A46" s="77"/>
      <x:c r="B46" s="77"/>
      <x:c r="C46" s="77"/>
      <x:c r="D46" s="77"/>
      <x:c r="E46" s="77"/>
      <x:c r="F46" s="77"/>
      <x:c r="G46" s="77"/>
      <x:c r="H46" s="86"/>
      <x:c r="I46" s="77"/>
      <x:c r="J46" s="77"/>
    </x:row>
    <x:row r="47">
      <x:c r="A47" s="77"/>
      <x:c r="B47" s="77"/>
      <x:c r="C47" s="77"/>
      <x:c r="D47" s="77"/>
      <x:c r="E47" s="77"/>
      <x:c r="F47" s="77"/>
      <x:c r="G47" s="77"/>
      <x:c r="H47" s="86"/>
      <x:c r="I47" s="77"/>
      <x:c r="J47" s="77"/>
    </x:row>
    <x:row r="48">
      <x:c r="A48" s="77"/>
      <x:c r="B48" s="77"/>
      <x:c r="C48" s="77"/>
      <x:c r="D48" s="77"/>
      <x:c r="E48" s="77"/>
      <x:c r="F48" s="77"/>
      <x:c r="G48" s="77"/>
      <x:c r="H48" s="86"/>
      <x:c r="I48" s="77"/>
      <x:c r="J48" s="77"/>
    </x:row>
    <x:row r="49">
      <x:c r="A49" s="77"/>
      <x:c r="B49" s="77"/>
      <x:c r="C49" s="77"/>
      <x:c r="D49" s="77"/>
      <x:c r="E49" s="77"/>
      <x:c r="F49" s="77"/>
      <x:c r="G49" s="77"/>
      <x:c r="H49" s="86"/>
      <x:c r="I49" s="77"/>
      <x:c r="J49" s="77"/>
    </x:row>
    <x:row r="50">
      <x:c r="A50" s="77"/>
      <x:c r="B50" s="77"/>
      <x:c r="C50" s="77"/>
      <x:c r="D50" s="77"/>
      <x:c r="E50" s="77"/>
      <x:c r="F50" s="77"/>
      <x:c r="G50" s="77"/>
      <x:c r="H50" s="86"/>
      <x:c r="I50" s="77"/>
      <x:c r="J50" s="77"/>
    </x:row>
    <x:row r="51">
      <x:c r="A51" s="77"/>
      <x:c r="B51" s="77"/>
      <x:c r="C51" s="77"/>
      <x:c r="D51" s="77"/>
      <x:c r="E51" s="77"/>
      <x:c r="F51" s="77"/>
      <x:c r="G51" s="77"/>
      <x:c r="H51" s="86"/>
      <x:c r="I51" s="77"/>
      <x:c r="J51" s="77"/>
    </x:row>
    <x:row r="52">
      <x:c r="A52" s="77"/>
      <x:c r="B52" s="77"/>
      <x:c r="C52" s="77"/>
      <x:c r="D52" s="77"/>
      <x:c r="E52" s="77"/>
      <x:c r="F52" s="77"/>
      <x:c r="G52" s="77"/>
      <x:c r="H52" s="86"/>
      <x:c r="I52" s="77"/>
      <x:c r="J52" s="77"/>
    </x:row>
    <x:row r="53">
      <x:c r="A53" s="77"/>
      <x:c r="B53" s="77"/>
      <x:c r="C53" s="77"/>
      <x:c r="D53" s="77"/>
      <x:c r="E53" s="77"/>
      <x:c r="F53" s="77"/>
      <x:c r="G53" s="77"/>
      <x:c r="H53" s="86"/>
      <x:c r="I53" s="77"/>
      <x:c r="J53" s="77"/>
    </x:row>
    <x:row r="54">
      <x:c r="A54" s="77"/>
      <x:c r="B54" s="77"/>
      <x:c r="C54" s="77"/>
      <x:c r="D54" s="77"/>
      <x:c r="E54" s="77"/>
      <x:c r="F54" s="77"/>
      <x:c r="G54" s="77"/>
      <x:c r="H54" s="86"/>
      <x:c r="I54" s="77"/>
      <x:c r="J54" s="77"/>
    </x:row>
    <x:row r="55">
      <x:c r="A55" s="77"/>
      <x:c r="B55" s="77"/>
      <x:c r="C55" s="77"/>
      <x:c r="D55" s="77"/>
      <x:c r="E55" s="77"/>
      <x:c r="F55" s="77"/>
      <x:c r="G55" s="77"/>
      <x:c r="H55" s="86"/>
      <x:c r="I55" s="77"/>
      <x:c r="J55" s="77"/>
    </x:row>
    <x:row r="56">
      <x:c r="A56" s="77"/>
      <x:c r="B56" s="77"/>
      <x:c r="C56" s="77"/>
      <x:c r="D56" s="77"/>
      <x:c r="E56" s="77"/>
      <x:c r="F56" s="77"/>
      <x:c r="G56" s="77"/>
      <x:c r="H56" s="86"/>
      <x:c r="I56" s="77"/>
      <x:c r="J56" s="77"/>
    </x:row>
    <x:row r="57">
      <x:c r="A57" s="77"/>
      <x:c r="B57" s="77"/>
      <x:c r="C57" s="77"/>
      <x:c r="D57" s="77"/>
      <x:c r="E57" s="77"/>
      <x:c r="F57" s="77"/>
      <x:c r="G57" s="77"/>
      <x:c r="H57" s="86"/>
      <x:c r="I57" s="77"/>
      <x:c r="J57" s="77"/>
    </x:row>
    <x:row r="58">
      <x:c r="A58" s="77"/>
      <x:c r="B58" s="77"/>
      <x:c r="C58" s="77"/>
      <x:c r="D58" s="77"/>
      <x:c r="E58" s="77"/>
      <x:c r="F58" s="77"/>
      <x:c r="G58" s="77"/>
      <x:c r="H58" s="86"/>
      <x:c r="I58" s="77"/>
      <x:c r="J58" s="77"/>
    </x:row>
    <x:row r="59">
      <x:c r="A59" s="77"/>
      <x:c r="B59" s="77"/>
      <x:c r="C59" s="77"/>
      <x:c r="D59" s="77"/>
      <x:c r="E59" s="77"/>
      <x:c r="F59" s="77"/>
      <x:c r="G59" s="77"/>
      <x:c r="H59" s="86"/>
      <x:c r="I59" s="77"/>
      <x:c r="J59" s="77"/>
    </x:row>
    <x:row r="60">
      <x:c r="A60" s="77"/>
      <x:c r="B60" s="77"/>
      <x:c r="C60" s="77"/>
      <x:c r="D60" s="77"/>
      <x:c r="E60" s="77"/>
      <x:c r="F60" s="77"/>
      <x:c r="G60" s="77"/>
      <x:c r="H60" s="86"/>
      <x:c r="I60" s="77"/>
      <x:c r="J60" s="77"/>
    </x:row>
    <x:row r="61">
      <x:c r="A61" s="77"/>
      <x:c r="B61" s="77"/>
      <x:c r="C61" s="77"/>
      <x:c r="D61" s="77"/>
      <x:c r="E61" s="77"/>
      <x:c r="F61" s="77"/>
      <x:c r="G61" s="77"/>
      <x:c r="H61" s="86"/>
      <x:c r="I61" s="77"/>
      <x:c r="J61" s="77"/>
    </x:row>
    <x:row r="62">
      <x:c r="A62" s="77"/>
      <x:c r="B62" s="77"/>
      <x:c r="C62" s="77"/>
      <x:c r="D62" s="77"/>
      <x:c r="E62" s="77"/>
      <x:c r="F62" s="77"/>
      <x:c r="G62" s="77"/>
      <x:c r="H62" s="86"/>
      <x:c r="I62" s="77"/>
      <x:c r="J62" s="77"/>
    </x:row>
    <x:row r="63">
      <x:c r="A63" s="77"/>
      <x:c r="B63" s="77"/>
      <x:c r="C63" s="77"/>
      <x:c r="D63" s="77"/>
      <x:c r="E63" s="77"/>
      <x:c r="F63" s="77"/>
      <x:c r="G63" s="77"/>
      <x:c r="H63" s="86"/>
      <x:c r="I63" s="77"/>
      <x:c r="J63" s="77"/>
    </x:row>
    <x:row r="64">
      <x:c r="A64" s="77"/>
      <x:c r="B64" s="77"/>
      <x:c r="C64" s="77"/>
      <x:c r="D64" s="77"/>
      <x:c r="E64" s="77"/>
      <x:c r="F64" s="77"/>
      <x:c r="G64" s="77"/>
      <x:c r="H64" s="86"/>
      <x:c r="I64" s="77"/>
      <x:c r="J64" s="77"/>
    </x:row>
    <x:row r="65">
      <x:c r="A65" s="77"/>
      <x:c r="B65" s="77"/>
      <x:c r="C65" s="77"/>
      <x:c r="D65" s="77"/>
      <x:c r="E65" s="77"/>
      <x:c r="F65" s="77"/>
      <x:c r="G65" s="77"/>
      <x:c r="H65" s="86"/>
      <x:c r="I65" s="77"/>
      <x:c r="J65" s="77"/>
    </x:row>
    <x:row r="66">
      <x:c r="A66" s="77"/>
      <x:c r="B66" s="77"/>
      <x:c r="C66" s="77"/>
      <x:c r="D66" s="77"/>
      <x:c r="E66" s="77"/>
      <x:c r="F66" s="77"/>
      <x:c r="G66" s="77"/>
      <x:c r="H66" s="86"/>
      <x:c r="I66" s="77"/>
      <x:c r="J66" s="77"/>
    </x:row>
    <x:row r="67">
      <x:c r="A67" s="77"/>
      <x:c r="B67" s="77"/>
      <x:c r="C67" s="77"/>
      <x:c r="D67" s="77"/>
      <x:c r="E67" s="77"/>
      <x:c r="F67" s="77"/>
      <x:c r="G67" s="77"/>
      <x:c r="H67" s="86"/>
      <x:c r="I67" s="77"/>
      <x:c r="J67" s="77"/>
    </x:row>
    <x:row r="68">
      <x:c r="A68" s="77"/>
      <x:c r="B68" s="77"/>
      <x:c r="C68" s="77"/>
      <x:c r="D68" s="77"/>
      <x:c r="E68" s="77"/>
      <x:c r="F68" s="77"/>
      <x:c r="G68" s="77"/>
      <x:c r="H68" s="86"/>
      <x:c r="I68" s="77"/>
      <x:c r="J68" s="77"/>
    </x:row>
    <x:row r="69">
      <x:c r="A69" s="77"/>
      <x:c r="B69" s="77"/>
      <x:c r="C69" s="77"/>
      <x:c r="D69" s="77"/>
      <x:c r="E69" s="77"/>
      <x:c r="F69" s="77"/>
      <x:c r="G69" s="77"/>
      <x:c r="H69" s="86"/>
      <x:c r="I69" s="77"/>
      <x:c r="J69" s="77"/>
    </x:row>
    <x:row r="70">
      <x:c r="A70" s="77"/>
      <x:c r="B70" s="77"/>
      <x:c r="C70" s="77"/>
      <x:c r="D70" s="77"/>
      <x:c r="E70" s="77"/>
      <x:c r="F70" s="77"/>
      <x:c r="G70" s="77"/>
      <x:c r="H70" s="86"/>
      <x:c r="I70" s="77"/>
      <x:c r="J70" s="77"/>
    </x:row>
    <x:row r="71">
      <x:c r="A71" s="77"/>
      <x:c r="B71" s="77"/>
      <x:c r="C71" s="77"/>
      <x:c r="D71" s="77"/>
      <x:c r="E71" s="77"/>
      <x:c r="F71" s="77"/>
      <x:c r="G71" s="77"/>
      <x:c r="H71" s="86"/>
      <x:c r="I71" s="77"/>
      <x:c r="J71" s="77"/>
    </x:row>
    <x:row r="72">
      <x:c r="A72" s="77"/>
      <x:c r="B72" s="77"/>
      <x:c r="C72" s="77"/>
      <x:c r="D72" s="77"/>
      <x:c r="E72" s="77"/>
      <x:c r="F72" s="77"/>
      <x:c r="G72" s="77"/>
      <x:c r="H72" s="86"/>
      <x:c r="I72" s="77"/>
      <x:c r="J72" s="77"/>
    </x:row>
    <x:row r="73">
      <x:c r="A73" s="77"/>
      <x:c r="B73" s="77"/>
      <x:c r="C73" s="77"/>
      <x:c r="D73" s="77"/>
      <x:c r="E73" s="77"/>
      <x:c r="F73" s="77"/>
      <x:c r="G73" s="77"/>
      <x:c r="H73" s="86"/>
      <x:c r="I73" s="77"/>
      <x:c r="J73" s="77"/>
    </x:row>
    <x:row r="74">
      <x:c r="A74" s="77"/>
      <x:c r="B74" s="77"/>
      <x:c r="C74" s="77"/>
      <x:c r="D74" s="77"/>
      <x:c r="E74" s="77"/>
      <x:c r="F74" s="77"/>
      <x:c r="G74" s="77"/>
      <x:c r="H74" s="86"/>
      <x:c r="I74" s="77"/>
      <x:c r="J74" s="77"/>
    </x:row>
    <x:row r="75">
      <x:c r="A75" s="77"/>
      <x:c r="B75" s="77"/>
      <x:c r="C75" s="77"/>
      <x:c r="D75" s="77"/>
      <x:c r="E75" s="77"/>
      <x:c r="F75" s="77"/>
      <x:c r="G75" s="77"/>
      <x:c r="H75" s="86"/>
      <x:c r="I75" s="77"/>
      <x:c r="J75" s="77"/>
    </x:row>
    <x:row r="76">
      <x:c r="A76" s="77"/>
      <x:c r="B76" s="77"/>
      <x:c r="C76" s="77"/>
      <x:c r="D76" s="77"/>
      <x:c r="E76" s="77"/>
      <x:c r="F76" s="77"/>
      <x:c r="G76" s="77"/>
      <x:c r="H76" s="86"/>
      <x:c r="I76" s="77"/>
      <x:c r="J76" s="77"/>
    </x:row>
    <x:row r="77">
      <x:c r="A77" s="77"/>
      <x:c r="B77" s="77"/>
      <x:c r="C77" s="77"/>
      <x:c r="D77" s="77"/>
      <x:c r="E77" s="77"/>
      <x:c r="F77" s="77"/>
      <x:c r="G77" s="77"/>
      <x:c r="H77" s="86"/>
      <x:c r="I77" s="77"/>
      <x:c r="J77" s="77"/>
    </x:row>
    <x:row r="78">
      <x:c r="A78" s="77"/>
      <x:c r="B78" s="77"/>
      <x:c r="C78" s="77"/>
      <x:c r="D78" s="77"/>
      <x:c r="E78" s="77"/>
      <x:c r="F78" s="77"/>
      <x:c r="G78" s="77"/>
      <x:c r="H78" s="86"/>
      <x:c r="I78" s="77"/>
      <x:c r="J78" s="77"/>
    </x:row>
    <x:row r="79">
      <x:c r="A79" s="77"/>
      <x:c r="B79" s="77"/>
      <x:c r="C79" s="77"/>
      <x:c r="D79" s="77"/>
      <x:c r="E79" s="77"/>
      <x:c r="F79" s="77"/>
      <x:c r="G79" s="77"/>
      <x:c r="H79" s="86"/>
      <x:c r="I79" s="77"/>
      <x:c r="J79" s="77"/>
    </x:row>
    <x:row r="80">
      <x:c r="A80" s="77"/>
      <x:c r="B80" s="77"/>
      <x:c r="C80" s="77"/>
      <x:c r="D80" s="77"/>
      <x:c r="E80" s="77"/>
      <x:c r="F80" s="77"/>
      <x:c r="G80" s="77"/>
      <x:c r="H80" s="86"/>
      <x:c r="I80" s="77"/>
      <x:c r="J80" s="77"/>
    </x:row>
    <x:row r="81">
      <x:c r="A81" s="77"/>
      <x:c r="B81" s="77"/>
      <x:c r="C81" s="77"/>
      <x:c r="D81" s="77"/>
      <x:c r="E81" s="77"/>
      <x:c r="F81" s="77"/>
      <x:c r="G81" s="77"/>
      <x:c r="H81" s="86"/>
      <x:c r="I81" s="77"/>
      <x:c r="J81" s="77"/>
    </x:row>
    <x:row r="82">
      <x:c r="A82" s="77"/>
      <x:c r="B82" s="77"/>
      <x:c r="C82" s="77"/>
      <x:c r="D82" s="77"/>
      <x:c r="E82" s="77"/>
      <x:c r="F82" s="77"/>
      <x:c r="G82" s="77"/>
      <x:c r="H82" s="86"/>
      <x:c r="I82" s="77"/>
      <x:c r="J82" s="77"/>
    </x:row>
    <x:row r="83">
      <x:c r="A83" s="77"/>
      <x:c r="B83" s="77"/>
      <x:c r="C83" s="77"/>
      <x:c r="D83" s="77"/>
      <x:c r="E83" s="77"/>
      <x:c r="F83" s="77"/>
      <x:c r="G83" s="77"/>
      <x:c r="H83" s="86"/>
      <x:c r="I83" s="77"/>
      <x:c r="J83" s="77"/>
    </x:row>
    <x:row r="84">
      <x:c r="A84" s="77"/>
      <x:c r="B84" s="77"/>
      <x:c r="C84" s="77"/>
      <x:c r="D84" s="77"/>
      <x:c r="E84" s="77"/>
      <x:c r="F84" s="77"/>
      <x:c r="G84" s="77"/>
      <x:c r="H84" s="86"/>
      <x:c r="I84" s="77"/>
      <x:c r="J84" s="77"/>
    </x:row>
    <x:row r="85">
      <x:c r="A85" s="77"/>
      <x:c r="B85" s="77"/>
      <x:c r="C85" s="77"/>
      <x:c r="D85" s="77"/>
      <x:c r="E85" s="77"/>
      <x:c r="F85" s="77"/>
      <x:c r="G85" s="77"/>
      <x:c r="H85" s="86"/>
      <x:c r="I85" s="77"/>
      <x:c r="J85" s="77"/>
    </x:row>
    <x:row r="86">
      <x:c r="A86" s="77"/>
      <x:c r="B86" s="77"/>
      <x:c r="C86" s="77"/>
      <x:c r="D86" s="77"/>
      <x:c r="E86" s="77"/>
      <x:c r="F86" s="77"/>
      <x:c r="G86" s="77"/>
      <x:c r="H86" s="86"/>
      <x:c r="I86" s="77"/>
      <x:c r="J86" s="77"/>
    </x:row>
    <x:row r="87">
      <x:c r="A87" s="77"/>
      <x:c r="B87" s="77"/>
      <x:c r="C87" s="77"/>
      <x:c r="D87" s="77"/>
      <x:c r="E87" s="77"/>
      <x:c r="F87" s="77"/>
      <x:c r="G87" s="77"/>
      <x:c r="H87" s="86"/>
      <x:c r="I87" s="77"/>
      <x:c r="J87" s="77"/>
    </x:row>
    <x:row r="88">
      <x:c r="A88" s="77"/>
      <x:c r="B88" s="77"/>
      <x:c r="C88" s="77"/>
      <x:c r="D88" s="77"/>
      <x:c r="E88" s="77"/>
      <x:c r="F88" s="77"/>
      <x:c r="G88" s="77"/>
      <x:c r="H88" s="86"/>
      <x:c r="I88" s="77"/>
      <x:c r="J88" s="77"/>
    </x:row>
    <x:row r="89">
      <x:c r="A89" s="77"/>
      <x:c r="B89" s="77"/>
      <x:c r="C89" s="77"/>
      <x:c r="D89" s="77"/>
      <x:c r="E89" s="77"/>
      <x:c r="F89" s="77"/>
      <x:c r="G89" s="77"/>
      <x:c r="H89" s="86"/>
      <x:c r="I89" s="77"/>
      <x:c r="J89" s="77"/>
    </x:row>
    <x:row r="90">
      <x:c r="A90" s="77"/>
      <x:c r="B90" s="77"/>
      <x:c r="C90" s="77"/>
      <x:c r="D90" s="77"/>
      <x:c r="E90" s="77"/>
      <x:c r="F90" s="77"/>
      <x:c r="G90" s="77"/>
      <x:c r="H90" s="86"/>
      <x:c r="I90" s="77"/>
      <x:c r="J90" s="77"/>
    </x:row>
    <x:row r="91">
      <x:c r="A91" s="77"/>
      <x:c r="B91" s="77"/>
      <x:c r="C91" s="77"/>
      <x:c r="D91" s="77"/>
      <x:c r="E91" s="77"/>
      <x:c r="F91" s="77"/>
      <x:c r="G91" s="77"/>
      <x:c r="H91" s="86"/>
      <x:c r="I91" s="77"/>
      <x:c r="J91" s="77"/>
    </x:row>
    <x:row r="92">
      <x:c r="A92" s="77"/>
      <x:c r="B92" s="77"/>
      <x:c r="C92" s="77"/>
      <x:c r="D92" s="77"/>
      <x:c r="E92" s="77"/>
      <x:c r="F92" s="77"/>
      <x:c r="G92" s="77"/>
      <x:c r="H92" s="86"/>
      <x:c r="I92" s="77"/>
      <x:c r="J92" s="77"/>
    </x:row>
    <x:row r="93">
      <x:c r="A93" s="77"/>
      <x:c r="B93" s="77"/>
      <x:c r="C93" s="77"/>
      <x:c r="D93" s="77"/>
      <x:c r="E93" s="77"/>
      <x:c r="F93" s="77"/>
      <x:c r="G93" s="77"/>
      <x:c r="H93" s="86"/>
      <x:c r="I93" s="77"/>
      <x:c r="J93" s="77"/>
    </x:row>
    <x:row r="94">
      <x:c r="A94" s="77"/>
      <x:c r="B94" s="77"/>
      <x:c r="C94" s="77"/>
      <x:c r="D94" s="77"/>
      <x:c r="E94" s="77"/>
      <x:c r="F94" s="77"/>
      <x:c r="G94" s="77"/>
      <x:c r="H94" s="86"/>
      <x:c r="I94" s="77"/>
      <x:c r="J94" s="77"/>
    </x:row>
    <x:row r="95">
      <x:c r="A95" s="77"/>
      <x:c r="B95" s="77"/>
      <x:c r="C95" s="77"/>
      <x:c r="D95" s="77"/>
      <x:c r="E95" s="77"/>
      <x:c r="F95" s="77"/>
      <x:c r="G95" s="77"/>
      <x:c r="H95" s="86"/>
      <x:c r="I95" s="77"/>
      <x:c r="J95" s="77"/>
    </x:row>
    <x:row r="96">
      <x:c r="A96" s="77"/>
      <x:c r="B96" s="77"/>
      <x:c r="C96" s="77"/>
      <x:c r="D96" s="77"/>
      <x:c r="E96" s="77"/>
      <x:c r="F96" s="77"/>
      <x:c r="G96" s="77"/>
      <x:c r="H96" s="86"/>
      <x:c r="I96" s="77"/>
      <x:c r="J96" s="77"/>
    </x:row>
    <x:row r="97">
      <x:c r="A97" s="77"/>
      <x:c r="B97" s="77"/>
      <x:c r="C97" s="77"/>
      <x:c r="D97" s="77"/>
      <x:c r="E97" s="77"/>
      <x:c r="F97" s="77"/>
      <x:c r="G97" s="77"/>
      <x:c r="H97" s="86"/>
      <x:c r="I97" s="77"/>
      <x:c r="J97" s="77"/>
    </x:row>
    <x:row r="98">
      <x:c r="A98" s="77"/>
      <x:c r="B98" s="77"/>
      <x:c r="C98" s="77"/>
      <x:c r="D98" s="77"/>
      <x:c r="E98" s="77"/>
      <x:c r="F98" s="77"/>
      <x:c r="G98" s="77"/>
      <x:c r="H98" s="86"/>
      <x:c r="I98" s="77"/>
      <x:c r="J98" s="77"/>
    </x:row>
    <x:row r="99">
      <x:c r="A99" s="77"/>
      <x:c r="B99" s="77"/>
      <x:c r="C99" s="77"/>
      <x:c r="D99" s="77"/>
      <x:c r="E99" s="77"/>
      <x:c r="F99" s="77"/>
      <x:c r="G99" s="77"/>
      <x:c r="H99" s="86"/>
      <x:c r="I99" s="77"/>
      <x:c r="J99" s="77"/>
    </x:row>
    <x:row r="100">
      <x:c r="A100" s="77"/>
      <x:c r="B100" s="77"/>
      <x:c r="C100" s="77"/>
      <x:c r="D100" s="77"/>
      <x:c r="E100" s="77"/>
      <x:c r="F100" s="77"/>
      <x:c r="G100" s="77"/>
      <x:c r="H100" s="86"/>
      <x:c r="I100" s="77"/>
      <x:c r="J100" s="77"/>
    </x:row>
    <x:row r="101">
      <x:c r="A101" s="77"/>
      <x:c r="B101" s="77"/>
      <x:c r="C101" s="77"/>
      <x:c r="D101" s="77"/>
      <x:c r="E101" s="77"/>
      <x:c r="F101" s="77"/>
      <x:c r="G101" s="77"/>
      <x:c r="H101" s="86"/>
      <x:c r="I101" s="77"/>
      <x:c r="J101" s="77"/>
    </x:row>
    <x:row r="102">
      <x:c r="A102" s="77"/>
      <x:c r="B102" s="77"/>
      <x:c r="C102" s="77"/>
      <x:c r="D102" s="77"/>
      <x:c r="E102" s="77"/>
      <x:c r="F102" s="77"/>
      <x:c r="G102" s="77"/>
      <x:c r="H102" s="86"/>
      <x:c r="I102" s="77"/>
      <x:c r="J102" s="77"/>
    </x:row>
    <x:row r="103">
      <x:c r="A103" s="77"/>
      <x:c r="B103" s="77"/>
      <x:c r="C103" s="77"/>
      <x:c r="D103" s="77"/>
      <x:c r="E103" s="77"/>
      <x:c r="F103" s="77"/>
      <x:c r="G103" s="77"/>
      <x:c r="H103" s="86"/>
      <x:c r="I103" s="77"/>
      <x:c r="J103" s="77"/>
    </x:row>
    <x:row r="104">
      <x:c r="A104" s="77"/>
      <x:c r="B104" s="77"/>
      <x:c r="C104" s="77"/>
      <x:c r="D104" s="77"/>
      <x:c r="E104" s="77"/>
      <x:c r="F104" s="77"/>
      <x:c r="G104" s="77"/>
      <x:c r="H104" s="86"/>
      <x:c r="I104" s="77"/>
      <x:c r="J104" s="77"/>
    </x:row>
    <x:row r="105">
      <x:c r="A105" s="77"/>
      <x:c r="B105" s="77"/>
      <x:c r="C105" s="77"/>
      <x:c r="D105" s="77"/>
      <x:c r="E105" s="77"/>
      <x:c r="F105" s="77"/>
      <x:c r="G105" s="77"/>
      <x:c r="H105" s="86"/>
      <x:c r="I105" s="77"/>
      <x:c r="J105" s="77"/>
    </x:row>
    <x:row r="106">
      <x:c r="A106" s="77"/>
      <x:c r="B106" s="77"/>
      <x:c r="C106" s="77"/>
      <x:c r="D106" s="77"/>
      <x:c r="E106" s="77"/>
      <x:c r="F106" s="77"/>
      <x:c r="G106" s="77"/>
      <x:c r="H106" s="86"/>
      <x:c r="I106" s="77"/>
      <x:c r="J106" s="77"/>
    </x:row>
    <x:row r="107">
      <x:c r="A107" s="77"/>
      <x:c r="B107" s="77"/>
      <x:c r="C107" s="77"/>
      <x:c r="D107" s="77"/>
      <x:c r="E107" s="77"/>
      <x:c r="F107" s="77"/>
      <x:c r="G107" s="77"/>
      <x:c r="H107" s="86"/>
      <x:c r="I107" s="77"/>
      <x:c r="J107" s="77"/>
    </x:row>
    <x:row r="108">
      <x:c r="A108" s="77"/>
      <x:c r="B108" s="77"/>
      <x:c r="C108" s="77"/>
      <x:c r="D108" s="77"/>
      <x:c r="E108" s="77"/>
      <x:c r="F108" s="77"/>
      <x:c r="G108" s="77"/>
      <x:c r="H108" s="86"/>
      <x:c r="I108" s="77"/>
      <x:c r="J108" s="77"/>
    </x:row>
    <x:row r="109">
      <x:c r="A109" s="77"/>
      <x:c r="B109" s="77"/>
      <x:c r="C109" s="77"/>
      <x:c r="D109" s="77"/>
      <x:c r="E109" s="77"/>
      <x:c r="F109" s="77"/>
      <x:c r="G109" s="77"/>
      <x:c r="H109" s="86"/>
      <x:c r="I109" s="77"/>
      <x:c r="J109" s="77"/>
    </x:row>
    <x:row r="110">
      <x:c r="A110" s="77"/>
      <x:c r="B110" s="77"/>
      <x:c r="C110" s="77"/>
      <x:c r="D110" s="77"/>
      <x:c r="E110" s="77"/>
      <x:c r="F110" s="77"/>
      <x:c r="G110" s="77"/>
      <x:c r="H110" s="86"/>
      <x:c r="I110" s="77"/>
      <x:c r="J110" s="77"/>
    </x:row>
    <x:row r="111">
      <x:c r="A111" s="77"/>
      <x:c r="B111" s="77"/>
      <x:c r="C111" s="77"/>
      <x:c r="D111" s="77"/>
      <x:c r="E111" s="77"/>
      <x:c r="F111" s="77"/>
      <x:c r="G111" s="77"/>
      <x:c r="H111" s="86"/>
      <x:c r="I111" s="77"/>
      <x:c r="J111" s="77"/>
    </x:row>
    <x:row r="112">
      <x:c r="A112" s="77"/>
      <x:c r="B112" s="77"/>
      <x:c r="C112" s="77"/>
      <x:c r="D112" s="77"/>
      <x:c r="E112" s="77"/>
      <x:c r="F112" s="77"/>
      <x:c r="G112" s="77"/>
      <x:c r="H112" s="86"/>
      <x:c r="I112" s="77"/>
      <x:c r="J112" s="77"/>
    </x:row>
    <x:row r="113">
      <x:c r="A113" s="77"/>
      <x:c r="B113" s="77"/>
      <x:c r="C113" s="77"/>
      <x:c r="D113" s="77"/>
      <x:c r="E113" s="77"/>
      <x:c r="F113" s="77"/>
      <x:c r="G113" s="77"/>
      <x:c r="H113" s="86"/>
      <x:c r="I113" s="77"/>
      <x:c r="J113" s="77"/>
    </x:row>
    <x:row r="114">
      <x:c r="A114" s="77"/>
      <x:c r="B114" s="77"/>
      <x:c r="C114" s="77"/>
      <x:c r="D114" s="77"/>
      <x:c r="E114" s="77"/>
      <x:c r="F114" s="77"/>
      <x:c r="G114" s="77"/>
      <x:c r="H114" s="86"/>
      <x:c r="I114" s="77"/>
      <x:c r="J114" s="77"/>
    </x:row>
    <x:row r="115">
      <x:c r="A115" s="77"/>
      <x:c r="B115" s="77"/>
      <x:c r="C115" s="77"/>
      <x:c r="D115" s="77"/>
      <x:c r="E115" s="77"/>
      <x:c r="F115" s="77"/>
      <x:c r="G115" s="77"/>
      <x:c r="H115" s="86"/>
      <x:c r="I115" s="77"/>
      <x:c r="J115" s="77"/>
    </x:row>
    <x:row r="116">
      <x:c r="A116" s="77"/>
      <x:c r="B116" s="77"/>
      <x:c r="C116" s="77"/>
      <x:c r="D116" s="77"/>
      <x:c r="E116" s="77"/>
      <x:c r="F116" s="77"/>
      <x:c r="G116" s="77"/>
      <x:c r="H116" s="86"/>
      <x:c r="I116" s="77"/>
      <x:c r="J116" s="77"/>
    </x:row>
    <x:row r="117">
      <x:c r="A117" s="77"/>
      <x:c r="B117" s="77"/>
      <x:c r="C117" s="77"/>
      <x:c r="D117" s="77"/>
      <x:c r="E117" s="77"/>
      <x:c r="F117" s="77"/>
      <x:c r="G117" s="77"/>
      <x:c r="H117" s="86"/>
      <x:c r="I117" s="77"/>
      <x:c r="J117" s="77"/>
    </x:row>
    <x:row r="118">
      <x:c r="A118" s="77"/>
      <x:c r="B118" s="77"/>
      <x:c r="C118" s="77"/>
      <x:c r="D118" s="77"/>
      <x:c r="E118" s="77"/>
      <x:c r="F118" s="77"/>
      <x:c r="G118" s="77"/>
      <x:c r="H118" s="86"/>
      <x:c r="I118" s="77"/>
      <x:c r="J118" s="77"/>
    </x:row>
    <x:row r="119">
      <x:c r="A119" s="77"/>
      <x:c r="B119" s="77"/>
      <x:c r="C119" s="77"/>
      <x:c r="D119" s="77"/>
      <x:c r="E119" s="77"/>
      <x:c r="F119" s="77"/>
      <x:c r="G119" s="77"/>
      <x:c r="H119" s="86"/>
      <x:c r="I119" s="77"/>
      <x:c r="J119" s="77"/>
    </x:row>
    <x:row r="120">
      <x:c r="A120" s="77"/>
      <x:c r="B120" s="77"/>
      <x:c r="C120" s="77"/>
      <x:c r="D120" s="77"/>
      <x:c r="E120" s="77"/>
      <x:c r="F120" s="77"/>
      <x:c r="G120" s="77"/>
      <x:c r="H120" s="86"/>
      <x:c r="I120" s="77"/>
      <x:c r="J120" s="77"/>
    </x:row>
    <x:row r="121">
      <x:c r="A121" s="77"/>
      <x:c r="B121" s="77"/>
      <x:c r="C121" s="77"/>
      <x:c r="D121" s="77"/>
      <x:c r="E121" s="77"/>
      <x:c r="F121" s="77"/>
      <x:c r="G121" s="77"/>
      <x:c r="H121" s="86"/>
      <x:c r="I121" s="77"/>
      <x:c r="J121" s="77"/>
    </x:row>
    <x:row r="122">
      <x:c r="A122" s="77"/>
      <x:c r="B122" s="77"/>
      <x:c r="C122" s="77"/>
      <x:c r="D122" s="77"/>
      <x:c r="E122" s="77"/>
      <x:c r="F122" s="77"/>
      <x:c r="G122" s="77"/>
      <x:c r="H122" s="86"/>
      <x:c r="I122" s="77"/>
      <x:c r="J122" s="77"/>
    </x:row>
    <x:row r="123">
      <x:c r="A123" s="77"/>
      <x:c r="B123" s="77"/>
      <x:c r="C123" s="77"/>
      <x:c r="D123" s="77"/>
      <x:c r="E123" s="77"/>
      <x:c r="F123" s="77"/>
      <x:c r="G123" s="77"/>
      <x:c r="H123" s="86"/>
      <x:c r="I123" s="77"/>
      <x:c r="J123" s="77"/>
    </x:row>
    <x:row r="124">
      <x:c r="A124" s="77"/>
      <x:c r="B124" s="77"/>
      <x:c r="C124" s="77"/>
      <x:c r="D124" s="77"/>
      <x:c r="E124" s="77"/>
      <x:c r="F124" s="77"/>
      <x:c r="G124" s="77"/>
      <x:c r="H124" s="86"/>
      <x:c r="I124" s="77"/>
      <x:c r="J124" s="77"/>
    </x:row>
    <x:row r="125">
      <x:c r="A125" s="77"/>
      <x:c r="B125" s="77"/>
      <x:c r="C125" s="77"/>
      <x:c r="D125" s="77"/>
      <x:c r="E125" s="77"/>
      <x:c r="F125" s="77"/>
      <x:c r="G125" s="77"/>
      <x:c r="H125" s="86"/>
      <x:c r="I125" s="77"/>
      <x:c r="J125" s="77"/>
    </x:row>
    <x:row r="126">
      <x:c r="A126" s="77"/>
      <x:c r="B126" s="77"/>
      <x:c r="C126" s="77"/>
      <x:c r="D126" s="77"/>
      <x:c r="E126" s="77"/>
      <x:c r="F126" s="77"/>
      <x:c r="G126" s="77"/>
      <x:c r="H126" s="86"/>
      <x:c r="I126" s="77"/>
      <x:c r="J126" s="77"/>
    </x:row>
    <x:row r="127">
      <x:c r="A127" s="77"/>
      <x:c r="B127" s="77"/>
      <x:c r="C127" s="77"/>
      <x:c r="D127" s="77"/>
      <x:c r="E127" s="77"/>
      <x:c r="F127" s="77"/>
      <x:c r="G127" s="77"/>
      <x:c r="H127" s="86"/>
      <x:c r="I127" s="77"/>
      <x:c r="J127" s="77"/>
    </x:row>
    <x:row r="128">
      <x:c r="A128" s="77"/>
      <x:c r="B128" s="77"/>
      <x:c r="C128" s="77"/>
      <x:c r="D128" s="77"/>
      <x:c r="E128" s="77"/>
      <x:c r="F128" s="77"/>
      <x:c r="G128" s="77"/>
      <x:c r="H128" s="86"/>
      <x:c r="I128" s="77"/>
      <x:c r="J128" s="77"/>
    </x:row>
    <x:row r="129">
      <x:c r="A129" s="77"/>
      <x:c r="B129" s="77"/>
      <x:c r="C129" s="77"/>
      <x:c r="D129" s="77"/>
      <x:c r="E129" s="77"/>
      <x:c r="F129" s="77"/>
      <x:c r="G129" s="77"/>
      <x:c r="H129" s="86"/>
      <x:c r="I129" s="77"/>
      <x:c r="J129" s="77"/>
    </x:row>
    <x:row r="130">
      <x:c r="A130" s="77"/>
      <x:c r="B130" s="77"/>
      <x:c r="C130" s="77"/>
      <x:c r="D130" s="77"/>
      <x:c r="E130" s="77"/>
      <x:c r="F130" s="77"/>
      <x:c r="G130" s="77"/>
      <x:c r="H130" s="86"/>
      <x:c r="I130" s="77"/>
      <x:c r="J130" s="77"/>
    </x:row>
    <x:row r="131">
      <x:c r="A131" s="77"/>
      <x:c r="B131" s="77"/>
      <x:c r="C131" s="77"/>
      <x:c r="D131" s="77"/>
      <x:c r="E131" s="77"/>
      <x:c r="F131" s="77"/>
      <x:c r="G131" s="77"/>
      <x:c r="H131" s="86"/>
      <x:c r="I131" s="77"/>
      <x:c r="J131" s="77"/>
    </x:row>
    <x:row r="132">
      <x:c r="A132" s="77"/>
      <x:c r="B132" s="77"/>
      <x:c r="C132" s="77"/>
      <x:c r="D132" s="77"/>
      <x:c r="E132" s="77"/>
      <x:c r="F132" s="77"/>
      <x:c r="G132" s="77"/>
      <x:c r="H132" s="86"/>
      <x:c r="I132" s="77"/>
      <x:c r="J132" s="77"/>
    </x:row>
    <x:row r="133">
      <x:c r="A133" s="77"/>
      <x:c r="B133" s="77"/>
      <x:c r="C133" s="77"/>
      <x:c r="D133" s="77"/>
      <x:c r="E133" s="77"/>
      <x:c r="F133" s="77"/>
      <x:c r="G133" s="77"/>
      <x:c r="H133" s="86"/>
      <x:c r="I133" s="77"/>
      <x:c r="J133" s="77"/>
    </x:row>
    <x:row r="134">
      <x:c r="A134" s="77"/>
      <x:c r="B134" s="77"/>
      <x:c r="C134" s="77"/>
      <x:c r="D134" s="77"/>
      <x:c r="E134" s="77"/>
      <x:c r="F134" s="77"/>
      <x:c r="G134" s="77"/>
      <x:c r="H134" s="86"/>
      <x:c r="I134" s="77"/>
      <x:c r="J134" s="77"/>
    </x:row>
    <x:row r="135">
      <x:c r="A135" s="77"/>
      <x:c r="B135" s="77"/>
      <x:c r="C135" s="77"/>
      <x:c r="D135" s="77"/>
      <x:c r="E135" s="77"/>
      <x:c r="F135" s="77"/>
      <x:c r="G135" s="77"/>
      <x:c r="H135" s="86"/>
      <x:c r="I135" s="77"/>
      <x:c r="J135" s="77"/>
    </x:row>
    <x:row r="136">
      <x:c r="A136" s="77"/>
      <x:c r="B136" s="77"/>
      <x:c r="C136" s="77"/>
      <x:c r="D136" s="77"/>
      <x:c r="E136" s="77"/>
      <x:c r="F136" s="77"/>
      <x:c r="G136" s="77"/>
      <x:c r="H136" s="86"/>
      <x:c r="I136" s="77"/>
      <x:c r="J136" s="77"/>
    </x:row>
    <x:row r="137">
      <x:c r="A137" s="77"/>
      <x:c r="B137" s="77"/>
      <x:c r="C137" s="77"/>
      <x:c r="D137" s="77"/>
      <x:c r="E137" s="77"/>
      <x:c r="F137" s="77"/>
      <x:c r="G137" s="77"/>
      <x:c r="H137" s="86"/>
      <x:c r="I137" s="77"/>
      <x:c r="J137" s="77"/>
    </x:row>
    <x:row r="138">
      <x:c r="A138" s="77"/>
      <x:c r="B138" s="77"/>
      <x:c r="C138" s="77"/>
      <x:c r="D138" s="77"/>
      <x:c r="E138" s="77"/>
      <x:c r="F138" s="77"/>
      <x:c r="G138" s="77"/>
      <x:c r="H138" s="86"/>
      <x:c r="I138" s="77"/>
      <x:c r="J138" s="77"/>
    </x:row>
    <x:row r="139">
      <x:c r="A139" s="77"/>
      <x:c r="B139" s="77"/>
      <x:c r="C139" s="77"/>
      <x:c r="D139" s="77"/>
      <x:c r="E139" s="77"/>
      <x:c r="F139" s="77"/>
      <x:c r="G139" s="77"/>
      <x:c r="H139" s="86"/>
      <x:c r="I139" s="77"/>
      <x:c r="J139" s="77"/>
    </x:row>
    <x:row r="140">
      <x:c r="A140" s="77"/>
      <x:c r="B140" s="77"/>
      <x:c r="C140" s="77"/>
      <x:c r="D140" s="77"/>
      <x:c r="E140" s="77"/>
      <x:c r="F140" s="77"/>
      <x:c r="G140" s="77"/>
      <x:c r="H140" s="86"/>
      <x:c r="I140" s="77"/>
      <x:c r="J140" s="77"/>
    </x:row>
    <x:row r="141">
      <x:c r="A141" s="77"/>
      <x:c r="B141" s="77"/>
      <x:c r="C141" s="77"/>
      <x:c r="D141" s="77"/>
      <x:c r="E141" s="77"/>
      <x:c r="F141" s="77"/>
      <x:c r="G141" s="77"/>
      <x:c r="H141" s="86"/>
      <x:c r="I141" s="77"/>
      <x:c r="J141" s="77"/>
    </x:row>
    <x:row r="142">
      <x:c r="A142" s="77"/>
      <x:c r="B142" s="77"/>
      <x:c r="C142" s="77"/>
      <x:c r="D142" s="77"/>
      <x:c r="E142" s="77"/>
      <x:c r="F142" s="77"/>
      <x:c r="G142" s="77"/>
      <x:c r="H142" s="86"/>
      <x:c r="I142" s="77"/>
      <x:c r="J142" s="77"/>
    </x:row>
    <x:row r="143">
      <x:c r="A143" s="77"/>
      <x:c r="B143" s="77"/>
      <x:c r="C143" s="77"/>
      <x:c r="D143" s="77"/>
      <x:c r="E143" s="77"/>
      <x:c r="F143" s="77"/>
      <x:c r="G143" s="77"/>
      <x:c r="H143" s="86"/>
      <x:c r="I143" s="77"/>
      <x:c r="J143" s="77"/>
    </x:row>
    <x:row r="144">
      <x:c r="A144" s="77"/>
      <x:c r="B144" s="77"/>
      <x:c r="C144" s="77"/>
      <x:c r="D144" s="77"/>
      <x:c r="E144" s="77"/>
      <x:c r="F144" s="77"/>
      <x:c r="G144" s="77"/>
      <x:c r="H144" s="86"/>
      <x:c r="I144" s="77"/>
      <x:c r="J144" s="77"/>
    </x:row>
    <x:row r="145">
      <x:c r="A145" s="77"/>
      <x:c r="B145" s="77"/>
      <x:c r="C145" s="77"/>
      <x:c r="D145" s="77"/>
      <x:c r="E145" s="77"/>
      <x:c r="F145" s="77"/>
      <x:c r="G145" s="77"/>
      <x:c r="H145" s="86"/>
      <x:c r="I145" s="77"/>
      <x:c r="J145" s="77"/>
    </x:row>
    <x:row r="146">
      <x:c r="A146" s="77"/>
      <x:c r="B146" s="77"/>
      <x:c r="C146" s="77"/>
      <x:c r="D146" s="77"/>
      <x:c r="E146" s="77"/>
      <x:c r="F146" s="77"/>
      <x:c r="G146" s="77"/>
      <x:c r="H146" s="86"/>
      <x:c r="I146" s="77"/>
      <x:c r="J146" s="77"/>
    </x:row>
    <x:row r="147">
      <x:c r="A147" s="77"/>
      <x:c r="B147" s="77"/>
      <x:c r="C147" s="77"/>
      <x:c r="D147" s="77"/>
      <x:c r="E147" s="77"/>
      <x:c r="F147" s="77"/>
      <x:c r="G147" s="77"/>
      <x:c r="H147" s="86"/>
      <x:c r="I147" s="77"/>
      <x:c r="J147" s="77"/>
    </x:row>
    <x:row r="148">
      <x:c r="A148" s="77"/>
      <x:c r="B148" s="77"/>
      <x:c r="C148" s="77"/>
      <x:c r="D148" s="77"/>
      <x:c r="E148" s="77"/>
      <x:c r="F148" s="77"/>
      <x:c r="G148" s="77"/>
      <x:c r="H148" s="86"/>
      <x:c r="I148" s="77"/>
      <x:c r="J148" s="77"/>
    </x:row>
    <x:row r="149">
      <x:c r="A149" s="77"/>
      <x:c r="B149" s="77"/>
      <x:c r="C149" s="77"/>
      <x:c r="D149" s="77"/>
      <x:c r="E149" s="77"/>
      <x:c r="F149" s="77"/>
      <x:c r="G149" s="77"/>
      <x:c r="H149" s="86"/>
      <x:c r="I149" s="77"/>
      <x:c r="J149" s="77"/>
    </x:row>
    <x:row r="150">
      <x:c r="A150" s="77"/>
      <x:c r="B150" s="77"/>
      <x:c r="C150" s="77"/>
      <x:c r="D150" s="77"/>
      <x:c r="E150" s="77"/>
      <x:c r="F150" s="77"/>
      <x:c r="G150" s="77"/>
      <x:c r="H150" s="86"/>
      <x:c r="I150" s="77"/>
      <x:c r="J150" s="77"/>
    </x:row>
    <x:row r="151">
      <x:c r="A151" s="77"/>
      <x:c r="B151" s="77"/>
      <x:c r="C151" s="77"/>
      <x:c r="D151" s="77"/>
      <x:c r="E151" s="77"/>
      <x:c r="F151" s="77"/>
      <x:c r="G151" s="77"/>
      <x:c r="H151" s="86"/>
      <x:c r="I151" s="77"/>
      <x:c r="J151" s="77"/>
    </x:row>
    <x:row r="152">
      <x:c r="A152" s="77"/>
      <x:c r="B152" s="77"/>
      <x:c r="C152" s="77"/>
      <x:c r="D152" s="77"/>
      <x:c r="E152" s="77"/>
      <x:c r="F152" s="77"/>
      <x:c r="G152" s="77"/>
      <x:c r="H152" s="86"/>
      <x:c r="I152" s="77"/>
      <x:c r="J152" s="77"/>
    </x:row>
    <x:row r="153">
      <x:c r="A153" s="77"/>
      <x:c r="B153" s="77"/>
      <x:c r="C153" s="77"/>
      <x:c r="D153" s="77"/>
      <x:c r="E153" s="77"/>
      <x:c r="F153" s="77"/>
      <x:c r="G153" s="77"/>
      <x:c r="H153" s="86"/>
      <x:c r="I153" s="77"/>
      <x:c r="J153" s="77"/>
    </x:row>
    <x:row r="154">
      <x:c r="A154" s="77"/>
      <x:c r="B154" s="77"/>
      <x:c r="C154" s="77"/>
      <x:c r="D154" s="77"/>
      <x:c r="E154" s="77"/>
      <x:c r="F154" s="77"/>
      <x:c r="G154" s="77"/>
      <x:c r="H154" s="86"/>
      <x:c r="I154" s="77"/>
      <x:c r="J154" s="77"/>
    </x:row>
    <x:row r="155">
      <x:c r="A155" s="77"/>
      <x:c r="B155" s="77"/>
      <x:c r="C155" s="77"/>
      <x:c r="D155" s="77"/>
      <x:c r="E155" s="77"/>
      <x:c r="F155" s="77"/>
      <x:c r="G155" s="77"/>
      <x:c r="H155" s="86"/>
      <x:c r="I155" s="77"/>
      <x:c r="J155" s="77"/>
    </x:row>
    <x:row r="156">
      <x:c r="A156" s="77"/>
      <x:c r="B156" s="77"/>
      <x:c r="C156" s="77"/>
      <x:c r="D156" s="77"/>
      <x:c r="E156" s="77"/>
      <x:c r="F156" s="77"/>
      <x:c r="G156" s="77"/>
      <x:c r="H156" s="86"/>
      <x:c r="I156" s="77"/>
      <x:c r="J156" s="77"/>
    </x:row>
    <x:row r="157">
      <x:c r="A157" s="77"/>
      <x:c r="B157" s="77"/>
      <x:c r="C157" s="77"/>
      <x:c r="D157" s="77"/>
      <x:c r="E157" s="77"/>
      <x:c r="F157" s="77"/>
      <x:c r="G157" s="77"/>
      <x:c r="H157" s="86"/>
      <x:c r="I157" s="77"/>
      <x:c r="J157" s="77"/>
    </x:row>
    <x:row r="158">
      <x:c r="A158" s="77"/>
      <x:c r="B158" s="77"/>
      <x:c r="C158" s="77"/>
      <x:c r="D158" s="77"/>
      <x:c r="E158" s="77"/>
      <x:c r="F158" s="77"/>
      <x:c r="G158" s="77"/>
      <x:c r="H158" s="86"/>
      <x:c r="I158" s="77"/>
      <x:c r="J158" s="77"/>
    </x:row>
    <x:row r="159">
      <x:c r="A159" s="77"/>
      <x:c r="B159" s="77"/>
      <x:c r="C159" s="77"/>
      <x:c r="D159" s="77"/>
      <x:c r="E159" s="77"/>
      <x:c r="F159" s="77"/>
      <x:c r="G159" s="77"/>
      <x:c r="H159" s="86"/>
      <x:c r="I159" s="77"/>
      <x:c r="J159" s="77"/>
    </x:row>
    <x:row r="160">
      <x:c r="A160" s="77"/>
      <x:c r="B160" s="77"/>
      <x:c r="C160" s="77"/>
      <x:c r="D160" s="77"/>
      <x:c r="E160" s="77"/>
      <x:c r="F160" s="77"/>
      <x:c r="G160" s="77"/>
      <x:c r="H160" s="86"/>
      <x:c r="I160" s="77"/>
      <x:c r="J160" s="77"/>
    </x:row>
    <x:row r="161">
      <x:c r="A161" s="77"/>
      <x:c r="B161" s="77"/>
      <x:c r="C161" s="77"/>
      <x:c r="D161" s="77"/>
      <x:c r="E161" s="77"/>
      <x:c r="F161" s="77"/>
      <x:c r="G161" s="77"/>
      <x:c r="H161" s="86"/>
      <x:c r="I161" s="77"/>
      <x:c r="J161" s="77"/>
    </x:row>
    <x:row r="162">
      <x:c r="A162" s="77"/>
      <x:c r="B162" s="77"/>
      <x:c r="C162" s="77"/>
      <x:c r="D162" s="77"/>
      <x:c r="E162" s="77"/>
      <x:c r="F162" s="77"/>
      <x:c r="G162" s="77"/>
      <x:c r="H162" s="86"/>
      <x:c r="I162" s="77"/>
      <x:c r="J162" s="77"/>
    </x:row>
    <x:row r="163">
      <x:c r="A163" s="77"/>
      <x:c r="B163" s="77"/>
      <x:c r="C163" s="77"/>
      <x:c r="D163" s="77"/>
      <x:c r="E163" s="77"/>
      <x:c r="F163" s="77"/>
      <x:c r="G163" s="77"/>
      <x:c r="H163" s="86"/>
      <x:c r="I163" s="77"/>
      <x:c r="J163" s="77"/>
    </x:row>
    <x:row r="164">
      <x:c r="A164" s="77"/>
      <x:c r="B164" s="77"/>
      <x:c r="C164" s="77"/>
      <x:c r="D164" s="77"/>
      <x:c r="E164" s="77"/>
      <x:c r="F164" s="77"/>
      <x:c r="G164" s="77"/>
      <x:c r="H164" s="86"/>
      <x:c r="I164" s="77"/>
      <x:c r="J164" s="77"/>
    </x:row>
    <x:row r="165">
      <x:c r="A165" s="77"/>
      <x:c r="B165" s="77"/>
      <x:c r="C165" s="77"/>
      <x:c r="D165" s="77"/>
      <x:c r="E165" s="77"/>
      <x:c r="F165" s="77"/>
      <x:c r="G165" s="77"/>
      <x:c r="H165" s="86"/>
      <x:c r="I165" s="77"/>
      <x:c r="J165" s="77"/>
    </x:row>
    <x:row r="166">
      <x:c r="A166" s="77"/>
      <x:c r="B166" s="77"/>
      <x:c r="C166" s="77"/>
      <x:c r="D166" s="77"/>
      <x:c r="E166" s="77"/>
      <x:c r="F166" s="77"/>
      <x:c r="G166" s="77"/>
      <x:c r="H166" s="86"/>
      <x:c r="I166" s="77"/>
      <x:c r="J166" s="77"/>
    </x:row>
    <x:row r="167">
      <x:c r="A167" s="77"/>
      <x:c r="B167" s="77"/>
      <x:c r="C167" s="77"/>
      <x:c r="D167" s="77"/>
      <x:c r="E167" s="77"/>
      <x:c r="F167" s="77"/>
      <x:c r="G167" s="77"/>
      <x:c r="H167" s="86"/>
      <x:c r="I167" s="77"/>
      <x:c r="J167" s="77"/>
    </x:row>
    <x:row r="168">
      <x:c r="A168" s="77"/>
      <x:c r="B168" s="77"/>
      <x:c r="C168" s="77"/>
      <x:c r="D168" s="77"/>
      <x:c r="E168" s="77"/>
      <x:c r="F168" s="77"/>
      <x:c r="G168" s="77"/>
      <x:c r="H168" s="86"/>
      <x:c r="I168" s="77"/>
      <x:c r="J168" s="77"/>
    </x:row>
    <x:row r="169">
      <x:c r="A169" s="77"/>
      <x:c r="B169" s="77"/>
      <x:c r="C169" s="77"/>
      <x:c r="D169" s="77"/>
      <x:c r="E169" s="77"/>
      <x:c r="F169" s="77"/>
      <x:c r="G169" s="77"/>
      <x:c r="H169" s="86"/>
      <x:c r="I169" s="77"/>
      <x:c r="J169" s="77"/>
    </x:row>
    <x:row r="170">
      <x:c r="A170" s="77"/>
      <x:c r="B170" s="77"/>
      <x:c r="C170" s="77"/>
      <x:c r="D170" s="77"/>
      <x:c r="E170" s="77"/>
      <x:c r="F170" s="77"/>
      <x:c r="G170" s="77"/>
      <x:c r="H170" s="86"/>
      <x:c r="I170" s="77"/>
      <x:c r="J170" s="77"/>
    </x:row>
    <x:row r="171">
      <x:c r="A171" s="77"/>
      <x:c r="B171" s="77"/>
      <x:c r="C171" s="77"/>
      <x:c r="D171" s="77"/>
      <x:c r="E171" s="77"/>
      <x:c r="F171" s="77"/>
      <x:c r="G171" s="77"/>
      <x:c r="H171" s="86"/>
      <x:c r="I171" s="77"/>
      <x:c r="J171" s="77"/>
    </x:row>
    <x:row r="172">
      <x:c r="A172" s="77"/>
      <x:c r="B172" s="77"/>
      <x:c r="C172" s="77"/>
      <x:c r="D172" s="77"/>
      <x:c r="E172" s="77"/>
      <x:c r="F172" s="77"/>
      <x:c r="G172" s="77"/>
      <x:c r="H172" s="86"/>
      <x:c r="I172" s="77"/>
      <x:c r="J172" s="77"/>
    </x:row>
    <x:row r="173">
      <x:c r="A173" s="77"/>
      <x:c r="B173" s="77"/>
      <x:c r="C173" s="77"/>
      <x:c r="D173" s="77"/>
      <x:c r="E173" s="77"/>
      <x:c r="F173" s="77"/>
      <x:c r="G173" s="77"/>
      <x:c r="H173" s="86"/>
      <x:c r="I173" s="77"/>
      <x:c r="J173" s="77"/>
    </x:row>
    <x:row r="174">
      <x:c r="A174" s="77"/>
      <x:c r="B174" s="77"/>
      <x:c r="C174" s="77"/>
      <x:c r="D174" s="77"/>
      <x:c r="E174" s="77"/>
      <x:c r="F174" s="77"/>
      <x:c r="G174" s="77"/>
      <x:c r="H174" s="86"/>
      <x:c r="I174" s="77"/>
      <x:c r="J174" s="77"/>
    </x:row>
    <x:row r="175">
      <x:c r="A175" s="77"/>
      <x:c r="B175" s="77"/>
      <x:c r="C175" s="77"/>
      <x:c r="D175" s="77"/>
      <x:c r="E175" s="77"/>
      <x:c r="F175" s="77"/>
      <x:c r="G175" s="77"/>
      <x:c r="H175" s="86"/>
      <x:c r="I175" s="77"/>
      <x:c r="J175" s="77"/>
    </x:row>
    <x:row r="176">
      <x:c r="A176" s="77"/>
      <x:c r="B176" s="77"/>
      <x:c r="C176" s="77"/>
      <x:c r="D176" s="77"/>
      <x:c r="E176" s="77"/>
      <x:c r="F176" s="77"/>
      <x:c r="G176" s="77"/>
      <x:c r="H176" s="86"/>
      <x:c r="I176" s="77"/>
      <x:c r="J176" s="77"/>
    </x:row>
    <x:row r="177">
      <x:c r="A177" s="77"/>
      <x:c r="B177" s="77"/>
      <x:c r="C177" s="77"/>
      <x:c r="D177" s="77"/>
      <x:c r="E177" s="77"/>
      <x:c r="F177" s="77"/>
      <x:c r="G177" s="77"/>
      <x:c r="H177" s="86"/>
      <x:c r="I177" s="77"/>
      <x:c r="J177" s="77"/>
    </x:row>
    <x:row r="178">
      <x:c r="A178" s="77"/>
      <x:c r="B178" s="77"/>
      <x:c r="C178" s="77"/>
      <x:c r="D178" s="77"/>
      <x:c r="E178" s="77"/>
      <x:c r="F178" s="77"/>
      <x:c r="G178" s="77"/>
      <x:c r="H178" s="86"/>
      <x:c r="I178" s="77"/>
      <x:c r="J178" s="77"/>
    </x:row>
    <x:row r="179">
      <x:c r="A179" s="77"/>
      <x:c r="B179" s="77"/>
      <x:c r="C179" s="77"/>
      <x:c r="D179" s="77"/>
      <x:c r="E179" s="77"/>
      <x:c r="F179" s="77"/>
      <x:c r="G179" s="77"/>
      <x:c r="H179" s="86"/>
      <x:c r="I179" s="77"/>
      <x:c r="J179" s="77"/>
    </x:row>
    <x:row r="180">
      <x:c r="A180" s="77"/>
      <x:c r="B180" s="77"/>
      <x:c r="C180" s="77"/>
      <x:c r="D180" s="77"/>
      <x:c r="E180" s="77"/>
      <x:c r="F180" s="77"/>
      <x:c r="G180" s="77"/>
      <x:c r="H180" s="86"/>
      <x:c r="I180" s="77"/>
      <x:c r="J180" s="77"/>
    </x:row>
    <x:row r="181">
      <x:c r="A181" s="77"/>
      <x:c r="B181" s="77"/>
      <x:c r="C181" s="77"/>
      <x:c r="D181" s="77"/>
      <x:c r="E181" s="77"/>
      <x:c r="F181" s="77"/>
      <x:c r="G181" s="77"/>
      <x:c r="H181" s="86"/>
      <x:c r="I181" s="77"/>
      <x:c r="J181" s="77"/>
    </x:row>
    <x:row r="182">
      <x:c r="A182" s="77"/>
      <x:c r="B182" s="77"/>
      <x:c r="C182" s="77"/>
      <x:c r="D182" s="77"/>
      <x:c r="E182" s="77"/>
      <x:c r="F182" s="77"/>
      <x:c r="G182" s="77"/>
      <x:c r="H182" s="86"/>
      <x:c r="I182" s="77"/>
      <x:c r="J182" s="77"/>
    </x:row>
    <x:row r="183">
      <x:c r="A183" s="77"/>
      <x:c r="B183" s="77"/>
      <x:c r="C183" s="77"/>
      <x:c r="D183" s="77"/>
      <x:c r="E183" s="77"/>
      <x:c r="F183" s="77"/>
      <x:c r="G183" s="77"/>
      <x:c r="H183" s="86"/>
      <x:c r="I183" s="77"/>
      <x:c r="J183" s="77"/>
    </x:row>
    <x:row r="184">
      <x:c r="A184" s="77"/>
      <x:c r="B184" s="77"/>
      <x:c r="C184" s="77"/>
      <x:c r="D184" s="77"/>
      <x:c r="E184" s="77"/>
      <x:c r="F184" s="77"/>
      <x:c r="G184" s="77"/>
      <x:c r="H184" s="86"/>
      <x:c r="I184" s="77"/>
      <x:c r="J184" s="77"/>
    </x:row>
    <x:row r="185">
      <x:c r="A185" s="77"/>
      <x:c r="B185" s="77"/>
      <x:c r="C185" s="77"/>
      <x:c r="D185" s="77"/>
      <x:c r="E185" s="77"/>
      <x:c r="F185" s="77"/>
      <x:c r="G185" s="77"/>
      <x:c r="H185" s="86"/>
      <x:c r="I185" s="77"/>
      <x:c r="J185" s="77"/>
    </x:row>
    <x:row r="186">
      <x:c r="A186" s="77"/>
      <x:c r="B186" s="77"/>
      <x:c r="C186" s="77"/>
      <x:c r="D186" s="77"/>
      <x:c r="E186" s="77"/>
      <x:c r="F186" s="77"/>
      <x:c r="G186" s="77"/>
      <x:c r="H186" s="86"/>
      <x:c r="I186" s="77"/>
      <x:c r="J186" s="77"/>
    </x:row>
    <x:row r="187">
      <x:c r="A187" s="77"/>
      <x:c r="B187" s="77"/>
      <x:c r="C187" s="77"/>
      <x:c r="D187" s="77"/>
      <x:c r="E187" s="77"/>
      <x:c r="F187" s="77"/>
      <x:c r="G187" s="77"/>
      <x:c r="H187" s="86"/>
      <x:c r="I187" s="77"/>
      <x:c r="J187" s="77"/>
    </x:row>
    <x:row r="188">
      <x:c r="A188" s="77"/>
      <x:c r="B188" s="77"/>
      <x:c r="C188" s="77"/>
      <x:c r="D188" s="77"/>
      <x:c r="E188" s="77"/>
      <x:c r="F188" s="77"/>
      <x:c r="G188" s="77"/>
      <x:c r="H188" s="86"/>
      <x:c r="I188" s="77"/>
      <x:c r="J188" s="77"/>
    </x:row>
    <x:row r="189">
      <x:c r="A189" s="77"/>
      <x:c r="B189" s="77"/>
      <x:c r="C189" s="77"/>
      <x:c r="D189" s="77"/>
      <x:c r="E189" s="77"/>
      <x:c r="F189" s="77"/>
      <x:c r="G189" s="77"/>
      <x:c r="H189" s="86"/>
      <x:c r="I189" s="77"/>
      <x:c r="J189" s="77"/>
    </x:row>
    <x:row r="190">
      <x:c r="A190" s="77"/>
      <x:c r="B190" s="77"/>
      <x:c r="C190" s="77"/>
      <x:c r="D190" s="77"/>
      <x:c r="E190" s="77"/>
      <x:c r="F190" s="77"/>
      <x:c r="G190" s="77"/>
      <x:c r="H190" s="86"/>
      <x:c r="I190" s="77"/>
      <x:c r="J190" s="77"/>
    </x:row>
    <x:row r="191">
      <x:c r="A191" s="77"/>
      <x:c r="B191" s="77"/>
      <x:c r="C191" s="77"/>
      <x:c r="D191" s="77"/>
      <x:c r="E191" s="77"/>
      <x:c r="F191" s="77"/>
      <x:c r="G191" s="77"/>
      <x:c r="H191" s="86"/>
      <x:c r="I191" s="77"/>
      <x:c r="J191" s="77"/>
    </x:row>
    <x:row r="192">
      <x:c r="A192" s="77"/>
      <x:c r="B192" s="77"/>
      <x:c r="C192" s="77"/>
      <x:c r="D192" s="77"/>
      <x:c r="E192" s="77"/>
      <x:c r="F192" s="77"/>
      <x:c r="G192" s="77"/>
      <x:c r="H192" s="86"/>
      <x:c r="I192" s="77"/>
      <x:c r="J192" s="77"/>
    </x:row>
    <x:row r="193">
      <x:c r="A193" s="77"/>
      <x:c r="B193" s="77"/>
      <x:c r="C193" s="77"/>
      <x:c r="D193" s="77"/>
      <x:c r="E193" s="77"/>
      <x:c r="F193" s="77"/>
      <x:c r="G193" s="77"/>
      <x:c r="H193" s="86"/>
      <x:c r="I193" s="77"/>
      <x:c r="J193" s="77"/>
    </x:row>
    <x:row r="194">
      <x:c r="A194" s="77"/>
      <x:c r="B194" s="77"/>
      <x:c r="C194" s="77"/>
      <x:c r="D194" s="77"/>
      <x:c r="E194" s="77"/>
      <x:c r="F194" s="77"/>
      <x:c r="G194" s="77"/>
      <x:c r="H194" s="86"/>
      <x:c r="I194" s="77"/>
      <x:c r="J194" s="77"/>
    </x:row>
    <x:row r="195">
      <x:c r="A195" s="77"/>
      <x:c r="B195" s="77"/>
      <x:c r="C195" s="77"/>
      <x:c r="D195" s="77"/>
      <x:c r="E195" s="77"/>
      <x:c r="F195" s="77"/>
      <x:c r="G195" s="77"/>
      <x:c r="H195" s="86"/>
      <x:c r="I195" s="77"/>
      <x:c r="J195" s="77"/>
    </x:row>
    <x:row r="196">
      <x:c r="A196" s="77"/>
      <x:c r="B196" s="77"/>
      <x:c r="C196" s="77"/>
      <x:c r="D196" s="77"/>
      <x:c r="E196" s="77"/>
      <x:c r="F196" s="77"/>
      <x:c r="G196" s="77"/>
      <x:c r="H196" s="86"/>
      <x:c r="I196" s="77"/>
      <x:c r="J196" s="77"/>
    </x:row>
    <x:row r="197">
      <x:c r="A197" s="77"/>
      <x:c r="B197" s="77"/>
      <x:c r="C197" s="77"/>
      <x:c r="D197" s="77"/>
      <x:c r="E197" s="77"/>
      <x:c r="F197" s="77"/>
      <x:c r="G197" s="77"/>
      <x:c r="H197" s="86"/>
      <x:c r="I197" s="77"/>
      <x:c r="J197" s="77"/>
    </x:row>
    <x:row r="198">
      <x:c r="A198" s="77"/>
      <x:c r="B198" s="77"/>
      <x:c r="C198" s="77"/>
      <x:c r="D198" s="77"/>
      <x:c r="E198" s="77"/>
      <x:c r="F198" s="77"/>
      <x:c r="G198" s="77"/>
      <x:c r="H198" s="86"/>
      <x:c r="I198" s="77"/>
      <x:c r="J198" s="77"/>
    </x:row>
    <x:row r="199">
      <x:c r="A199" s="77"/>
      <x:c r="B199" s="77"/>
      <x:c r="C199" s="77"/>
      <x:c r="D199" s="77"/>
      <x:c r="E199" s="77"/>
      <x:c r="F199" s="77"/>
      <x:c r="G199" s="77"/>
      <x:c r="H199" s="86"/>
      <x:c r="I199" s="77"/>
      <x:c r="J199" s="77"/>
    </x:row>
    <x:row r="200">
      <x:c r="A200" s="77"/>
      <x:c r="B200" s="77"/>
      <x:c r="C200" s="77"/>
      <x:c r="D200" s="77"/>
      <x:c r="E200" s="77"/>
      <x:c r="F200" s="77"/>
      <x:c r="G200" s="77"/>
      <x:c r="H200" s="86"/>
      <x:c r="I200" s="77"/>
      <x:c r="J200" s="77"/>
    </x:row>
    <x:row r="201">
      <x:c r="A201" s="77"/>
      <x:c r="B201" s="77"/>
      <x:c r="C201" s="77"/>
      <x:c r="D201" s="77"/>
      <x:c r="E201" s="77"/>
      <x:c r="F201" s="77"/>
      <x:c r="G201" s="77"/>
      <x:c r="H201" s="86"/>
      <x:c r="I201" s="77"/>
      <x:c r="J201" s="77"/>
    </x:row>
    <x:row r="202">
      <x:c r="A202" s="77"/>
      <x:c r="B202" s="77"/>
      <x:c r="C202" s="77"/>
      <x:c r="D202" s="77"/>
      <x:c r="E202" s="77"/>
      <x:c r="F202" s="77"/>
      <x:c r="G202" s="77"/>
      <x:c r="H202" s="86"/>
      <x:c r="I202" s="77"/>
      <x:c r="J202" s="77"/>
    </x:row>
    <x:row r="203">
      <x:c r="A203" s="77"/>
      <x:c r="B203" s="77"/>
      <x:c r="C203" s="77"/>
      <x:c r="D203" s="77"/>
      <x:c r="E203" s="77"/>
      <x:c r="F203" s="77"/>
      <x:c r="G203" s="77"/>
      <x:c r="H203" s="86"/>
      <x:c r="I203" s="77"/>
      <x:c r="J203" s="77"/>
    </x:row>
    <x:row r="204">
      <x:c r="A204" s="77"/>
      <x:c r="B204" s="77"/>
      <x:c r="C204" s="77"/>
      <x:c r="D204" s="77"/>
      <x:c r="E204" s="77"/>
      <x:c r="F204" s="77"/>
      <x:c r="G204" s="77"/>
      <x:c r="H204" s="86"/>
      <x:c r="I204" s="77"/>
      <x:c r="J204" s="77"/>
    </x:row>
    <x:row r="205">
      <x:c r="A205" s="77"/>
      <x:c r="B205" s="77"/>
      <x:c r="C205" s="77"/>
      <x:c r="D205" s="77"/>
      <x:c r="E205" s="77"/>
      <x:c r="F205" s="77"/>
      <x:c r="G205" s="77"/>
      <x:c r="H205" s="86"/>
      <x:c r="I205" s="77"/>
      <x:c r="J205" s="77"/>
    </x:row>
  </x:sheetData>
  <x:mergeCells>
    <x:mergeCell ref="A1:J1"/>
    <x:mergeCell ref="A2:J2"/>
  </x:mergeCells>
  <x:conditionalFormatting sqref="G6:G205">
    <x:cfRule type="containsText" dxfId="12" priority="1" operator="containsText" text="待你判断"/>
    <x:cfRule type="containsText" dxfId="13" priority="2" operator="containsText" text="已通过"/>
  </x:conditionalFormatting>
  <x:dataValidations count="1">
    <x:dataValidation type="list" sqref="G6:G205">
      <x:formula1>"待你判断,建议通过,已通过,需修改,暂缓,否决"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3c20eb34444e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5" hidden="0" customWidth="1"/>
    <x:col min="3" max="3" width="20" hidden="0" customWidth="1"/>
    <x:col min="4" max="4" width="10" hidden="0" customWidth="1"/>
    <x:col min="5" max="5" width="30" hidden="0" customWidth="1"/>
    <x:col min="6" max="6" width="12" hidden="0" customWidth="1"/>
    <x:col min="7" max="7" width="18" hidden="0" customWidth="1"/>
    <x:col min="8" max="8" width="45" hidden="0" customWidth="1"/>
    <x:col min="9" max="9" width="55" hidden="0" customWidth="1"/>
  </x:cols>
  <x:sheetData>
    <x:row r="1" ht="36" customHeight="1">
      <x:c r="A1" s="75" t="str">
        <x:v>来源台账与广告风险</x:v>
      </x:c>
      <x:c r="B1" s="75"/>
      <x:c r="C1" s="75"/>
      <x:c r="D1" s="75"/>
      <x:c r="E1" s="75"/>
      <x:c r="F1" s="75"/>
      <x:c r="G1" s="75"/>
      <x:c r="H1" s="75"/>
      <x:c r="I1" s="75"/>
    </x:row>
    <x:row r="2" ht="28" customHeight="1">
      <x:c r="A2" s="76" t="str">
        <x:v>每条来源只承担它能证明的内容。海外讨论与商业页面不可用于确认开放时间或票务事实。</x:v>
      </x:c>
      <x:c r="B2" s="76"/>
      <x:c r="C2" s="76"/>
      <x:c r="D2" s="76"/>
      <x:c r="E2" s="76"/>
      <x:c r="F2" s="76"/>
      <x:c r="G2" s="76"/>
      <x:c r="H2" s="76"/>
      <x:c r="I2" s="76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</x:row>
    <x:row r="5" ht="34" customHeight="1">
      <x:c r="A5" s="82" t="str">
        <x:v>来源ID</x:v>
      </x:c>
      <x:c r="B5" s="83" t="str">
        <x:v>来源名称</x:v>
      </x:c>
      <x:c r="C5" s="83" t="str">
        <x:v>来源类型</x:v>
      </x:c>
      <x:c r="D5" s="83" t="str">
        <x:v>层级</x:v>
      </x:c>
      <x:c r="E5" s="83" t="str">
        <x:v>主要用途</x:v>
      </x:c>
      <x:c r="F5" s="83" t="str">
        <x:v>广告风险</x:v>
      </x:c>
      <x:c r="G5" s="83" t="str">
        <x:v>发布日期/状态</x:v>
      </x:c>
      <x:c r="H5" s="83" t="str">
        <x:v>核心信息</x:v>
      </x:c>
      <x:c r="I5" s="84" t="str">
        <x:v>URL</x:v>
      </x:c>
    </x:row>
    <x:row r="6">
      <x:c r="A6" s="34" t="str">
        <x:v>SRC001</x:v>
      </x:c>
      <x:c r="B6" s="34" t="str">
        <x:v>2025年重庆市旅游业统计公报</x:v>
      </x:c>
      <x:c r="C6" s="34" t="str">
        <x:v>官方统计</x:v>
      </x:c>
      <x:c r="D6" s="34" t="str">
        <x:v>S1</x:v>
      </x:c>
      <x:c r="E6" s="34" t="str">
        <x:v>市场背景</x:v>
      </x:c>
      <x:c r="F6" s="34" t="str">
        <x:v>低</x:v>
      </x:c>
      <x:c r="G6" s="34" t="str">
        <x:v>2026-07发布</x:v>
      </x:c>
      <x:c r="H6" s="34" t="str">
        <x:v>重庆入境旅游总体增长与规模</x:v>
      </x:c>
      <x:c r="I6" s="34" t="str">
        <x:v>https://whlyw.cq.gov.cn/sjfb/202607/t20260706_15801807.html</x:v>
      </x:c>
    </x:row>
    <x:row r="7">
      <x:c r="A7" s="55" t="str">
        <x:v>SRC002</x:v>
      </x:c>
      <x:c r="B7" s="55" t="str">
        <x:v>境外人员来渝便利化三年行动计划</x:v>
      </x:c>
      <x:c r="C7" s="55" t="str">
        <x:v>市政府政策</x:v>
      </x:c>
      <x:c r="D7" s="55" t="str">
        <x:v>S1</x:v>
      </x:c>
      <x:c r="E7" s="55" t="str">
        <x:v>支付、交通、语言、入境服务</x:v>
      </x:c>
      <x:c r="F7" s="55" t="str">
        <x:v>低</x:v>
      </x:c>
      <x:c r="G7" s="55" t="str">
        <x:v>2026-07</x:v>
      </x:c>
      <x:c r="H7" s="55" t="str">
        <x:v>明确涉外标识、支付、景区和交通改进方向；也说明当前仍有缺口</x:v>
      </x:c>
      <x:c r="I7" s="55" t="str">
        <x:v>https://www.cq.gov.cn/zwgk/zfxxgkml/szfwj/qtgw/202607/t20260710_15814399_app.html</x:v>
      </x:c>
    </x:row>
    <x:row r="8">
      <x:c r="A8" s="55" t="str">
        <x:v>SRC003</x:v>
      </x:c>
      <x:c r="B8" s="55" t="str">
        <x:v>重庆旅游休闲街区地图</x:v>
      </x:c>
      <x:c r="C8" s="55" t="str">
        <x:v>政府/规划</x:v>
      </x:c>
      <x:c r="D8" s="55" t="str">
        <x:v>S1</x:v>
      </x:c>
      <x:c r="E8" s="55" t="str">
        <x:v>街区定位与官方边界</x:v>
      </x:c>
      <x:c r="F8" s="55" t="str">
        <x:v>低</x:v>
      </x:c>
      <x:c r="G8" s="55" t="str">
        <x:v>2024-08</x:v>
      </x:c>
      <x:c r="H8" s="55" t="str">
        <x:v>磁器口、十八梯、龙门浩、黄桷垭等官方定位</x:v>
      </x:c>
      <x:c r="I8" s="55" t="str">
        <x:v>https://www.cq.gov.cn/zwgk/zfxxgkml/zdlyxxgk/ggwh/ly/zxdt/202408/t20240816_13513807.html</x:v>
      </x:c>
    </x:row>
    <x:row r="9">
      <x:c r="A9" s="55" t="str">
        <x:v>SRC004</x:v>
      </x:c>
      <x:c r="B9" s="55" t="str">
        <x:v>湖广会馆</x:v>
      </x:c>
      <x:c r="C9" s="55" t="str">
        <x:v>文旅委/文物</x:v>
      </x:c>
      <x:c r="D9" s="55" t="str">
        <x:v>S1</x:v>
      </x:c>
      <x:c r="E9" s="55" t="str">
        <x:v>建筑、历史与文化解释</x:v>
      </x:c>
      <x:c r="F9" s="55" t="str">
        <x:v>低</x:v>
      </x:c>
      <x:c r="G9" s="55" t="str">
        <x:v>2024-05</x:v>
      </x:c>
      <x:c r="H9" s="55" t="str">
        <x:v>会馆建筑与移民文化价值</x:v>
      </x:c>
      <x:c r="I9" s="55" t="str">
        <x:v>https://whlyw.cq.gov.cn/zjwl/yzq/cqwlzy/zqwwzy/202405/t20240507_13182428.html</x:v>
      </x:c>
    </x:row>
    <x:row r="10">
      <x:c r="A10" s="55" t="str">
        <x:v>SRC005</x:v>
      </x:c>
      <x:c r="B10" s="55" t="str">
        <x:v>洪崖洞</x:v>
      </x:c>
      <x:c r="C10" s="55" t="str">
        <x:v>市政府景点页</x:v>
      </x:c>
      <x:c r="D10" s="55" t="str">
        <x:v>S1</x:v>
      </x:c>
      <x:c r="E10" s="55" t="str">
        <x:v>地址、交通、官方叙事</x:v>
      </x:c>
      <x:c r="F10" s="55" t="str">
        <x:v>低</x:v>
      </x:c>
      <x:c r="G10" s="55" t="str">
        <x:v>2024-09</x:v>
      </x:c>
      <x:c r="H10" s="55" t="str">
        <x:v>洪崖洞建筑与交通信息</x:v>
      </x:c>
      <x:c r="I10" s="55" t="str">
        <x:v>https://www.cq.gov.cn/zjcq/cycq/jplyxl/dsy/dsjp/202409/t20240905_13599455.html</x:v>
      </x:c>
    </x:row>
    <x:row r="11">
      <x:c r="A11" s="55" t="str">
        <x:v>SRC006</x:v>
      </x:c>
      <x:c r="B11" s="55" t="str">
        <x:v>重庆轨道交通线网图</x:v>
      </x:c>
      <x:c r="C11" s="55" t="str">
        <x:v>交通主管部门</x:v>
      </x:c>
      <x:c r="D11" s="55" t="str">
        <x:v>S1</x:v>
      </x:c>
      <x:c r="E11" s="55" t="str">
        <x:v>轨道线路</x:v>
      </x:c>
      <x:c r="F11" s="55" t="str">
        <x:v>低</x:v>
      </x:c>
      <x:c r="G11" s="55" t="str">
        <x:v>2026-02</x:v>
      </x:c>
      <x:c r="H11" s="55" t="str">
        <x:v>当前线网基础</x:v>
      </x:c>
      <x:c r="I11" s="55" t="str">
        <x:v>https://jtj.cq.gov.cn/zwgk_240/zfxxgkml/gggs/tzgg/202603/t20260302_15481715.html</x:v>
      </x:c>
    </x:row>
    <x:row r="12">
      <x:c r="A12" s="55" t="str">
        <x:v>SRC007</x:v>
      </x:c>
      <x:c r="B12" s="55" t="str">
        <x:v>三峡博物馆取消预约公告</x:v>
      </x:c>
      <x:c r="C12" s="55" t="str">
        <x:v>博物馆官方</x:v>
      </x:c>
      <x:c r="D12" s="55" t="str">
        <x:v>S1</x:v>
      </x:c>
      <x:c r="E12" s="55" t="str">
        <x:v>入馆规则</x:v>
      </x:c>
      <x:c r="F12" s="55" t="str">
        <x:v>低</x:v>
      </x:c>
      <x:c r="G12" s="55" t="str">
        <x:v>2025-09</x:v>
      </x:c>
      <x:c r="H12" s="55" t="str">
        <x:v>主馆等自2025-10起凭有效证件免预约入馆</x:v>
      </x:c>
      <x:c r="I12" s="55" t="str">
        <x:v>https://www.3gmuseum.cn/web/article/1430010139317059584/web/content_1430010139317059584.html</x:v>
      </x:c>
    </x:row>
    <x:row r="13">
      <x:c r="A13" s="55" t="str">
        <x:v>SRC008</x:v>
      </x:c>
      <x:c r="B13" s="55" t="str">
        <x:v>长江索道官方页</x:v>
      </x:c>
      <x:c r="C13" s="55" t="str">
        <x:v>运营方</x:v>
      </x:c>
      <x:c r="D13" s="55" t="str">
        <x:v>S1</x:v>
      </x:c>
      <x:c r="E13" s="55" t="str">
        <x:v>运营与购票候选</x:v>
      </x:c>
      <x:c r="F13" s="55" t="str">
        <x:v>低</x:v>
      </x:c>
      <x:c r="G13" s="55" t="str">
        <x:v>持续更新</x:v>
      </x:c>
      <x:c r="H13" s="55" t="str">
        <x:v>需以当日运营信息为准</x:v>
      </x:c>
      <x:c r="I13" s="55" t="str">
        <x:v>https://www.cqsuodao.com/zhangjiangsuodao.html</x:v>
      </x:c>
    </x:row>
    <x:row r="14">
      <x:c r="A14" s="55" t="str">
        <x:v>SRC009</x:v>
      </x:c>
      <x:c r="B14" s="55" t="str">
        <x:v>武隆A级景区名录2026</x:v>
      </x:c>
      <x:c r="C14" s="55" t="str">
        <x:v>区文旅委</x:v>
      </x:c>
      <x:c r="D14" s="55" t="str">
        <x:v>S1</x:v>
      </x:c>
      <x:c r="E14" s="55" t="str">
        <x:v>票价、开放、预约</x:v>
      </x:c>
      <x:c r="F14" s="55" t="str">
        <x:v>低</x:v>
      </x:c>
      <x:c r="G14" s="55" t="str">
        <x:v>2026-01</x:v>
      </x:c>
      <x:c r="H14" s="55" t="str">
        <x:v>天生三桥、龙水峡等官方信息</x:v>
      </x:c>
      <x:c r="I14" s="55" t="str">
        <x:v>https://cqwl.gov.cn/bmjz_sites/bm/wlw/zwgk_98942/zfxxgkml/jczwgkzl/ggwhfwly/ggfw/ggwljgmd/202601/t20260104_15286062.html</x:v>
      </x:c>
    </x:row>
    <x:row r="15">
      <x:c r="A15" s="55" t="str">
        <x:v>SRC010</x:v>
      </x:c>
      <x:c r="B15" s="55" t="str">
        <x:v>大足A级景区名录2026</x:v>
      </x:c>
      <x:c r="C15" s="55" t="str">
        <x:v>区文旅委</x:v>
      </x:c>
      <x:c r="D15" s="55" t="str">
        <x:v>S1</x:v>
      </x:c>
      <x:c r="E15" s="55" t="str">
        <x:v>地址、电话、预约</x:v>
      </x:c>
      <x:c r="F15" s="55" t="str">
        <x:v>低</x:v>
      </x:c>
      <x:c r="G15" s="55" t="str">
        <x:v>2026-01</x:v>
      </x:c>
      <x:c r="H15" s="55" t="str">
        <x:v>大足石刻官方预约与咨询方式</x:v>
      </x:c>
      <x:c r="I15" s="55" t="str">
        <x:v>https://www.dazu.gov.cn/qzfjz/smz/zwgk_53321/zfxxgkml/jczwgk_218260/ggwhfwlyjczwgk_1/ggfw/ggeljgml/202601/t20260105_15291915.html</x:v>
      </x:c>
    </x:row>
    <x:row r="16">
      <x:c r="A16" s="55" t="str">
        <x:v>SRC011</x:v>
      </x:c>
      <x:c r="B16" s="55" t="str">
        <x:v>Reddit：重庆路线过满讨论</x:v>
      </x:c>
      <x:c r="C16" s="55" t="str">
        <x:v>海外用户讨论</x:v>
      </x:c>
      <x:c r="D16" s="55" t="str">
        <x:v>S3</x:v>
      </x:c>
      <x:c r="E16" s="55" t="str">
        <x:v>体力、路线冲突、重复景点</x:v>
      </x:c>
      <x:c r="F16" s="55" t="str">
        <x:v>中</x:v>
      </x:c>
      <x:c r="G16" s="55" t="str">
        <x:v>2026-07</x:v>
      </x:c>
      <x:c r="H16" s="55" t="str">
        <x:v>台阶、转场和Shibati/下浩里内容重叠</x:v>
      </x:c>
      <x:c r="I16" s="55" t="str">
        <x:v>https://www.reddit.com/r/travelchina/comments/1v4olqp/thoughts_on_my_chongqing_itinerary/</x:v>
      </x:c>
    </x:row>
    <x:row r="17">
      <x:c r="A17" s="55" t="str">
        <x:v>SRC012</x:v>
      </x:c>
      <x:c r="B17" s="55" t="str">
        <x:v>Reddit：重庆白天做什么</x:v>
      </x:c>
      <x:c r="C17" s="55" t="str">
        <x:v>海外用户讨论</x:v>
      </x:c>
      <x:c r="D17" s="55" t="str">
        <x:v>S3</x:v>
      </x:c>
      <x:c r="E17" s="55" t="str">
        <x:v>昼间内容与深度叙事</x:v>
      </x:c>
      <x:c r="F17" s="55" t="str">
        <x:v>中</x:v>
      </x:c>
      <x:c r="G17" s="55" t="str">
        <x:v>2026-03</x:v>
      </x:c>
      <x:c r="H17" s="55" t="str">
        <x:v>不应把重庆只做成夜景和赛博朋克</x:v>
      </x:c>
      <x:c r="I17" s="55" t="str">
        <x:v>https://www.reddit.com/r/travelchina/comments/1rotlj9/is_chongqing_just_a_night_city_what_to_do_during/</x:v>
      </x:c>
    </x:row>
    <x:row r="18">
      <x:c r="A18" s="55" t="str">
        <x:v>SRC013</x:v>
      </x:c>
      <x:c r="B18" s="55" t="str">
        <x:v>Reddit：中国行程常见错误</x:v>
      </x:c>
      <x:c r="C18" s="55" t="str">
        <x:v>海外用户讨论</x:v>
      </x:c>
      <x:c r="D18" s="55" t="str">
        <x:v>S3</x:v>
      </x:c>
      <x:c r="E18" s="55" t="str">
        <x:v>支付、车站、雨天与高峰</x:v>
      </x:c>
      <x:c r="F18" s="55" t="str">
        <x:v>中</x:v>
      </x:c>
      <x:c r="G18" s="55" t="str">
        <x:v>2026-06</x:v>
      </x:c>
      <x:c r="H18" s="55" t="str">
        <x:v>西站转场、雨天打车、节假日和外卡失败</x:v>
      </x:c>
      <x:c r="I18" s="55" t="str">
        <x:v>https://www.reddit.com/r/travelchina/comments/1tto8t7/common_mistakes_i_keep_seeing_in_china_travel/</x:v>
      </x:c>
    </x:row>
    <x:row r="19">
      <x:c r="A19" s="55" t="str">
        <x:v>SRC014</x:v>
      </x:c>
      <x:c r="B19" s="55" t="str">
        <x:v>Reddit：首次独自旅行中国</x:v>
      </x:c>
      <x:c r="C19" s="55" t="str">
        <x:v>海外用户讨论</x:v>
      </x:c>
      <x:c r="D19" s="55" t="str">
        <x:v>S3</x:v>
      </x:c>
      <x:c r="E19" s="55" t="str">
        <x:v>轨道、12306、护照闸机</x:v>
      </x:c>
      <x:c r="F19" s="55" t="str">
        <x:v>中</x:v>
      </x:c>
      <x:c r="G19" s="55" t="str">
        <x:v>2026-07</x:v>
      </x:c>
      <x:c r="H19" s="55" t="str">
        <x:v>先熟悉轨道、护照走人工通道等实际问题</x:v>
      </x:c>
      <x:c r="I19" s="55" t="str">
        <x:v>https://www.reddit.com/r/chinatravel/comments/1uv133a/first_time_in_china_solo_traveling/</x:v>
      </x:c>
    </x:row>
    <x:row r="20">
      <x:c r="A20" s="55" t="str">
        <x:v>SRC015</x:v>
      </x:c>
      <x:c r="B20" s="55" t="str">
        <x:v>Reddit：来重庆前应知道</x:v>
      </x:c>
      <x:c r="C20" s="55" t="str">
        <x:v>海外/本地讨论</x:v>
      </x:c>
      <x:c r="D20" s="55" t="str">
        <x:v>S3</x:v>
      </x:c>
      <x:c r="E20" s="55" t="str">
        <x:v>高温、餐饮与英文</x:v>
      </x:c>
      <x:c r="F20" s="55" t="str">
        <x:v>中</x:v>
      </x:c>
      <x:c r="G20" s="55" t="str">
        <x:v>2026-02</x:v>
      </x:c>
      <x:c r="H20" s="55" t="str">
        <x:v>夏季热风险和点菜摩擦</x:v>
      </x:c>
      <x:c r="I20" s="55" t="str">
        <x:v>https://www.reddit.com/r/China/comments/1qw4zvj/things_you_should_know_before_visiting_chongqing/</x:v>
      </x:c>
    </x:row>
    <x:row r="21">
      <x:c r="A21" s="55" t="str">
        <x:v>SRC016</x:v>
      </x:c>
      <x:c r="B21" s="55" t="str">
        <x:v>Yedu walking tour</x:v>
      </x:c>
      <x:c r="C21" s="55" t="str">
        <x:v>商业供应商</x:v>
      </x:c>
      <x:c r="D21" s="55" t="str">
        <x:v>S5</x:v>
      </x:c>
      <x:c r="E21" s="55" t="str">
        <x:v>竞品、路线强度、语言</x:v>
      </x:c>
      <x:c r="F21" s="55" t="str">
        <x:v>高</x:v>
      </x:c>
      <x:c r="G21" s="55" t="str">
        <x:v>公开售卖</x:v>
      </x:c>
      <x:c r="H21" s="55" t="str">
        <x:v>14km步行与多语言服务为候选信号，不等于质量已验证</x:v>
      </x:c>
      <x:c r="I21" s="55" t="str">
        <x:v>https://www.yedutrip.com/yedushop/p/chongqing-walking-tour</x:v>
      </x:c>
    </x:row>
    <x:row r="22">
      <x:c r="A22" s="55" t="str">
        <x:v>SRC017</x:v>
      </x:c>
      <x:c r="B22" s="55" t="str">
        <x:v>Chongqing Tours</x:v>
      </x:c>
      <x:c r="C22" s="55" t="str">
        <x:v>商业供应商</x:v>
      </x:c>
      <x:c r="D22" s="55" t="str">
        <x:v>S5</x:v>
      </x:c>
      <x:c r="E22" s="55" t="str">
        <x:v>食物团/地接竞品</x:v>
      </x:c>
      <x:c r="F22" s="55" t="str">
        <x:v>高</x:v>
      </x:c>
      <x:c r="G22" s="55" t="str">
        <x:v>公开售卖</x:v>
      </x:c>
      <x:c r="H22" s="55" t="str">
        <x:v>英文城市与食物产品存在</x:v>
      </x:c>
      <x:c r="I22" s="55" t="str">
        <x:v>https://www.chongqingtours.com/</x:v>
      </x:c>
    </x:row>
    <x:row r="23">
      <x:c r="A23" s="55" t="str">
        <x:v>SRC018</x:v>
      </x:c>
      <x:c r="B23" s="55" t="str">
        <x:v>Hugh Chongqing food tour</x:v>
      </x:c>
      <x:c r="C23" s="55" t="str">
        <x:v>商业供应商</x:v>
      </x:c>
      <x:c r="D23" s="55" t="str">
        <x:v>S5</x:v>
      </x:c>
      <x:c r="E23" s="55" t="str">
        <x:v>观音桥食物团竞品</x:v>
      </x:c>
      <x:c r="F23" s="55" t="str">
        <x:v>高</x:v>
      </x:c>
      <x:c r="G23" s="55" t="str">
        <x:v>公开售卖</x:v>
      </x:c>
      <x:c r="H23" s="55" t="str">
        <x:v>英文向导与司机为候选信号</x:v>
      </x:c>
      <x:c r="I23" s="55" t="str">
        <x:v>https://hughchongqing.com/city-experiences/food-tour/</x:v>
      </x:c>
    </x:row>
    <x:row r="24">
      <x:c r="A24" s="55" t="str">
        <x:v>SRC019</x:v>
      </x:c>
      <x:c r="B24" s="55" t="str">
        <x:v>重庆川剧院接待海外创作者报道</x:v>
      </x:c>
      <x:c r="C24" s="55" t="str">
        <x:v>文旅委</x:v>
      </x:c>
      <x:c r="D24" s="55" t="str">
        <x:v>S1</x:v>
      </x:c>
      <x:c r="E24" s="55" t="str">
        <x:v>川剧国际体验可行性</x:v>
      </x:c>
      <x:c r="F24" s="55" t="str">
        <x:v>低</x:v>
      </x:c>
      <x:c r="G24" s="55" t="str">
        <x:v>2026-07</x:v>
      </x:c>
      <x:c r="H24" s="55" t="str">
        <x:v>海外创作者参访、观看和互动说明机构具备涉外场景</x:v>
      </x:c>
      <x:c r="I24" s="55" t="str">
        <x:v>https://whlyw.cq.gov.cn/zwxx_221/bmdt/gzdt/202607/t20260713_15818348.html</x:v>
      </x:c>
    </x:row>
    <x:row r="25">
      <x:c r="A25" s="55" t="str">
        <x:v>SRC020</x:v>
      </x:c>
      <x:c r="B25" s="55" t="str">
        <x:v>Wallpaper：山城巷仁爱堂酒店评论</x:v>
      </x:c>
      <x:c r="C25" s="55" t="str">
        <x:v>专业媒体</x:v>
      </x:c>
      <x:c r="D25" s="55" t="str">
        <x:v>S2</x:v>
      </x:c>
      <x:c r="E25" s="55" t="str">
        <x:v>住宿、行李、语言和社区体验</x:v>
      </x:c>
      <x:c r="F25" s="55" t="str">
        <x:v>中</x:v>
      </x:c>
      <x:c r="G25" s="55" t="str">
        <x:v>2025</x:v>
      </x:c>
      <x:c r="H25" s="55" t="str">
        <x:v>历史建筑住宿的价值与落客、语言摩擦</x:v>
      </x:c>
      <x:c r="I25" s="55" t="str">
        <x:v>https://www.wallpaper.com/travel/hotels/the-sunyata-renai-hall-hotel-chongqing-review</x:v>
      </x:c>
    </x:row>
    <x:row r="26">
      <x:c r="A26" s="55" t="str">
        <x:v>SRC021</x:v>
      </x:c>
      <x:c r="B26" s="55" t="str">
        <x:v>重庆观光巴士线路</x:v>
      </x:c>
      <x:c r="C26" s="55" t="str">
        <x:v>市政府</x:v>
      </x:c>
      <x:c r="D26" s="55" t="str">
        <x:v>S1</x:v>
      </x:c>
      <x:c r="E26" s="55" t="str">
        <x:v>热门景点连接关系</x:v>
      </x:c>
      <x:c r="F26" s="55" t="str">
        <x:v>低</x:v>
      </x:c>
      <x:c r="G26" s="55" t="str">
        <x:v>2025-01</x:v>
      </x:c>
      <x:c r="H26" s="55" t="str">
        <x:v>解放碑、洪崖洞、南滨路、李子坝等公共交通串联</x:v>
      </x:c>
      <x:c r="I26" s="55" t="str">
        <x:v>https://cq.gov.cn/ywdt/bmts/202501/t20250123_14203069.html</x:v>
      </x:c>
    </x:row>
    <x:row r="27">
      <x:c r="A27" s="56" t="str">
        <x:v>SRC022</x:v>
      </x:c>
      <x:c r="B27" s="56" t="str">
        <x:v>重庆官方涉外服务目标</x:v>
      </x:c>
      <x:c r="C27" s="56" t="str">
        <x:v>市政府</x:v>
      </x:c>
      <x:c r="D27" s="56" t="str">
        <x:v>S1</x:v>
      </x:c>
      <x:c r="E27" s="56" t="str">
        <x:v>产品机会与缺口</x:v>
      </x:c>
      <x:c r="F27" s="56" t="str">
        <x:v>低</x:v>
      </x:c>
      <x:c r="G27" s="56" t="str">
        <x:v>2026-07</x:v>
      </x:c>
      <x:c r="H27" s="56" t="str">
        <x:v>2026年底双语标识、线路、支付与多语种服务目标</x:v>
      </x:c>
      <x:c r="I27" s="56" t="str">
        <x:v>https://www.cq.gov.cn/zwgk/zfxxgkml/szfwj/qtgw/202607/t20260710_15814399_app.html</x:v>
      </x:c>
    </x:row>
  </x:sheetData>
  <x:mergeCells>
    <x:mergeCell ref="A1:I1"/>
    <x:mergeCell ref="A2:I2"/>
  </x:mergeCells>
  <x:conditionalFormatting sqref="F6:F205">
    <x:cfRule type="containsText" dxfId="14" priority="1" operator="containsText" text="高"/>
  </x:conditionalFormatting>
  <x:dataValidations count="1">
    <x:dataValidation type="list" sqref="F6:F205">
      <x:formula1>"低,中,高,未知"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fa238c0a5b4fde"/>
  </x:tableParts>
</x:worksheet>
</file>