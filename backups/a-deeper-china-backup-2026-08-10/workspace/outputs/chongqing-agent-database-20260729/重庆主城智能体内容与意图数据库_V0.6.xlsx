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1c2868a9df4e07" /></Relationships>
</file>

<file path=xl/workbook.xml><?xml version="1.0" encoding="utf-8"?>
<x:workbook xmlns:x="http://schemas.openxmlformats.org/spreadsheetml/2006/main">
  <x:sheets>
    <x:sheet xmlns:r="http://schemas.openxmlformats.org/officeDocument/2006/relationships" name="数据库总览" sheetId="1" r:id="R80e4dc78a8504201"/>
    <x:sheet xmlns:r="http://schemas.openxmlformats.org/officeDocument/2006/relationships" name="智能体会话输入" sheetId="2" r:id="R47d0a600e92e42f5"/>
    <x:sheet xmlns:r="http://schemas.openxmlformats.org/officeDocument/2006/relationships" name="对话信号库" sheetId="3" r:id="Rdf5a2be158c84811"/>
    <x:sheet xmlns:r="http://schemas.openxmlformats.org/officeDocument/2006/relationships" name="追问规则" sheetId="4" r:id="R70101231f62e487f"/>
    <x:sheet xmlns:r="http://schemas.openxmlformats.org/officeDocument/2006/relationships" name="智能体调用协议" sheetId="5" r:id="R36eafbfc46544cda"/>
    <x:sheet xmlns:r="http://schemas.openxmlformats.org/officeDocument/2006/relationships" name="游客输出器" sheetId="6" r:id="R5e6b338009864e26"/>
    <x:sheet xmlns:r="http://schemas.openxmlformats.org/officeDocument/2006/relationships" name="路线模块库" sheetId="7" r:id="Ra6a0eb0b4ed94ea2"/>
    <x:sheet xmlns:r="http://schemas.openxmlformats.org/officeDocument/2006/relationships" name="点位内容库" sheetId="8" r:id="R2e29e909ec9a4f7e"/>
    <x:sheet xmlns:r="http://schemas.openxmlformats.org/officeDocument/2006/relationships" name="讲解素材库" sheetId="9" r:id="R2e92dc8c10da4e58"/>
    <x:sheet xmlns:r="http://schemas.openxmlformats.org/officeDocument/2006/relationships" name="客群规则" sheetId="10" r:id="R06e9547984cb4dca"/>
    <x:sheet xmlns:r="http://schemas.openxmlformats.org/officeDocument/2006/relationships" name="输出规则" sheetId="11" r:id="R4347a09bbd474516"/>
    <x:sheet xmlns:r="http://schemas.openxmlformats.org/officeDocument/2006/relationships" name="实地核验" sheetId="12" r:id="R50ba5541b2f9497f"/>
    <x:sheet xmlns:r="http://schemas.openxmlformats.org/officeDocument/2006/relationships" name="首发核验" sheetId="13" r:id="R6ee9048e8f684f88"/>
    <x:sheet xmlns:r="http://schemas.openxmlformats.org/officeDocument/2006/relationships" name="体验产品" sheetId="14" r:id="R9773619ea718422d"/>
    <x:sheet xmlns:r="http://schemas.openxmlformats.org/officeDocument/2006/relationships" name="供应商档案" sheetId="15" r:id="R57c038684b3943c9"/>
    <x:sheet xmlns:r="http://schemas.openxmlformats.org/officeDocument/2006/relationships" name="联系工作台" sheetId="16" r:id="R06375663659f4737"/>
    <x:sheet xmlns:r="http://schemas.openxmlformats.org/officeDocument/2006/relationships" name="实走记录" sheetId="17" r:id="Rd891f1d781d5464f"/>
    <x:sheet xmlns:r="http://schemas.openxmlformats.org/officeDocument/2006/relationships" name="英语口试" sheetId="18" r:id="R0862b8dbafab496b"/>
    <x:sheet xmlns:r="http://schemas.openxmlformats.org/officeDocument/2006/relationships" name="来源台账" sheetId="19" r:id="Rdfab423d1f0e4d90"/>
    <x:sheet xmlns:r="http://schemas.openxmlformats.org/officeDocument/2006/relationships" name="参数字典" sheetId="20" r:id="R3a95f2d4577f47c7"/>
    <x:sheet xmlns:r="http://schemas.openxmlformats.org/officeDocument/2006/relationships" name="匹配计算" sheetId="21" r:id="R9f71496eb84343f5"/>
    <x:sheet xmlns:r="http://schemas.openxmlformats.org/officeDocument/2006/relationships" name="对话测试集" sheetId="22" r:id="R09523c428a844bf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hh:mm"/>
  </x:numFmts>
  <x:fonts count="20">
    <x:font>
      <x:sz val="11"/>
      <x:name val="Carlito"/>
    </x:font>
    <x:font>
      <x:b/>
      <x:sz val="18"/>
      <x:color rgb="FFFFFFFF"/>
      <x:name val="Carlito"/>
    </x:font>
    <x:font>
      <x:sz val="10"/>
      <x:color rgb="FF667085"/>
      <x:name val="Carlito"/>
    </x:font>
    <x:font>
      <x:b/>
      <x:sz val="10"/>
      <x:color rgb="FFFFFFFF"/>
      <x:name val="Carlito"/>
    </x:font>
    <x:font>
      <x:sz val="9"/>
      <x:color rgb="FF17212B"/>
      <x:name val="Carlito"/>
    </x:font>
    <x:font>
      <x:b/>
      <x:sz val="11"/>
      <x:color rgb="FF0B2239"/>
      <x:name val="Carlito"/>
    </x:font>
    <x:font>
      <x:sz val="12"/>
      <x:color rgb="FF17212B"/>
      <x:name val="Carlito"/>
    </x:font>
    <x:font>
      <x:b/>
      <x:sz val="11"/>
      <x:color rgb="FFFFFFFF"/>
      <x:name val="Carlito"/>
    </x:font>
    <x:font>
      <x:b/>
      <x:sz val="12"/>
      <x:color rgb="FF0B2239"/>
      <x:name val="Carlito"/>
    </x:font>
    <x:font>
      <x:b/>
      <x:sz val="11"/>
      <x:color rgb="FF153B5B"/>
      <x:name val="Carlito"/>
    </x:font>
    <x:font>
      <x:b/>
      <x:sz val="12"/>
      <x:color rgb="FF9A6700"/>
      <x:name val="Carlito"/>
    </x:font>
    <x:font>
      <x:b/>
      <x:sz val="11"/>
      <x:color rgb="FF2E7D72"/>
      <x:name val="Carlito"/>
    </x:font>
    <x:font>
      <x:sz val="11"/>
      <x:color rgb="FF667085"/>
      <x:name val="Carlito"/>
    </x:font>
    <x:font>
      <x:b/>
      <x:sz val="10"/>
      <x:color rgb="FF153B5B"/>
      <x:name val="Carlito"/>
    </x:font>
    <x:font>
      <x:b/>
      <x:sz val="20"/>
      <x:color rgb="FF1E6FA8"/>
      <x:name val="Carlito"/>
    </x:font>
    <x:font>
      <x:b/>
      <x:sz val="14"/>
      <x:color rgb="FF2E7D72"/>
      <x:name val="Carlito"/>
    </x:font>
    <x:font>
      <x:b/>
      <x:sz val="12"/>
      <x:color rgb="FFFFFFFF"/>
      <x:name val="Carlito"/>
    </x:font>
    <x:font>
      <x:b/>
      <x:sz val="18"/>
      <x:color rgb="FF153B5B"/>
      <x:name val="Carlito"/>
    </x:font>
    <x:font>
      <x:b/>
      <x:sz val="14"/>
      <x:color rgb="FF9A6700"/>
      <x:name val="Carlito"/>
    </x:font>
    <x:font>
      <x:b/>
      <x:sz val="11"/>
      <x:color rgb="FFB42318"/>
      <x:name val="Carlito"/>
    </x:font>
  </x:fonts>
  <x:fills count="13">
    <x:fill>
      <x:patternFill patternType="none"/>
    </x:fill>
    <x:fill>
      <x:patternFill patternType="gray125"/>
    </x:fill>
    <x:fill>
      <x:patternFill patternType="solid">
        <x:fgColor rgb="FF0B2239"/>
      </x:patternFill>
    </x:fill>
    <x:fill>
      <x:patternFill patternType="solid">
        <x:fgColor rgb="FFF8F4EC"/>
      </x:patternFill>
    </x:fill>
    <x:fill>
      <x:patternFill patternType="solid">
        <x:fgColor rgb="FF153B5B"/>
      </x:patternFill>
    </x:fill>
    <x:fill>
      <x:patternFill patternType="solid">
        <x:fgColor rgb="FFC9993A"/>
      </x:patternFill>
    </x:fill>
    <x:fill>
      <x:patternFill patternType="solid">
        <x:fgColor rgb="FFD5EAF3"/>
      </x:patternFill>
    </x:fill>
    <x:fill>
      <x:patternFill patternType="solid">
        <x:fgColor rgb="FFEAF4F8"/>
      </x:patternFill>
    </x:fill>
    <x:fill>
      <x:patternFill patternType="solid">
        <x:fgColor rgb="FFF4E8C8"/>
      </x:patternFill>
    </x:fill>
    <x:fill>
      <x:patternFill patternType="solid">
        <x:fgColor rgb="FFFFF1D6"/>
      </x:patternFill>
    </x:fill>
    <x:fill>
      <x:patternFill patternType="solid">
        <x:fgColor rgb="FFE3F1EA"/>
      </x:patternFill>
    </x:fill>
    <x:fill>
      <x:patternFill patternType="solid">
        <x:fgColor rgb="FFFFFFFF"/>
      </x:patternFill>
    </x:fill>
    <x:fill>
      <x:patternFill patternType="solid">
        <x:fgColor rgb="FFFBE5E5"/>
      </x:patternFill>
    </x:fill>
  </x:fills>
  <x:borders count="26">
    <x:border/>
    <x:border>
      <x:bottom style="thin">
        <x:color rgb="FFD9E2E8"/>
      </x:bottom>
    </x:border>
    <x:border>
      <x:top style="thin">
        <x:color rgb="FFD9E2E8"/>
      </x:top>
      <x:bottom style="thin">
        <x:color rgb="FFD9E2E8"/>
      </x:bottom>
    </x:border>
    <x:border>
      <x:top style="thin">
        <x:color rgb="FFD9E2E8"/>
      </x:top>
    </x:border>
    <x:border>
      <x:right style="thin">
        <x:color rgb="FFE7D9B8"/>
      </x:right>
      <x:bottom style="thin">
        <x:color rgb="FFE7D9B8"/>
      </x:bottom>
    </x:border>
    <x:border>
      <x:left style="thin">
        <x:color rgb="FFE7D9B8"/>
      </x:left>
      <x:right style="thin">
        <x:color rgb="FFE7D9B8"/>
      </x:right>
      <x:bottom style="thin">
        <x:color rgb="FFE7D9B8"/>
      </x:bottom>
    </x:border>
    <x:border>
      <x:left style="thin">
        <x:color rgb="FFE7D9B8"/>
      </x:left>
      <x:bottom style="thin">
        <x:color rgb="FFE7D9B8"/>
      </x:bottom>
    </x:border>
    <x:border>
      <x:right style="thin">
        <x:color rgb="FFE7D9B8"/>
      </x:right>
      <x:top style="thin">
        <x:color rgb="FFE7D9B8"/>
      </x:top>
      <x:bottom style="thin">
        <x:color rgb="FFE7D9B8"/>
      </x:bottom>
    </x:border>
    <x:border>
      <x:left style="thin">
        <x:color rgb="FFE7D9B8"/>
      </x:left>
      <x:right style="thin">
        <x:color rgb="FFE7D9B8"/>
      </x:right>
      <x:top style="thin">
        <x:color rgb="FFE7D9B8"/>
      </x:top>
      <x:bottom style="thin">
        <x:color rgb="FFE7D9B8"/>
      </x:bottom>
    </x:border>
    <x:border>
      <x:left style="thin">
        <x:color rgb="FFE7D9B8"/>
      </x:left>
      <x:top style="thin">
        <x:color rgb="FFE7D9B8"/>
      </x:top>
      <x:bottom style="thin">
        <x:color rgb="FFE7D9B8"/>
      </x:bottom>
    </x:border>
    <x:border>
      <x:right style="thin">
        <x:color rgb="FFE7D9B8"/>
      </x:right>
      <x:top style="thin">
        <x:color rgb="FFE7D9B8"/>
      </x:top>
    </x:border>
    <x:border>
      <x:left style="thin">
        <x:color rgb="FFE7D9B8"/>
      </x:left>
      <x:right style="thin">
        <x:color rgb="FFE7D9B8"/>
      </x:right>
      <x:top style="thin">
        <x:color rgb="FFE7D9B8"/>
      </x:top>
    </x:border>
    <x:border>
      <x:left style="thin">
        <x:color rgb="FFE7D9B8"/>
      </x:left>
      <x:top style="thin">
        <x:color rgb="FFE7D9B8"/>
      </x:top>
    </x:border>
    <x:border>
      <x:left style="thin">
        <x:color rgb="FFBDD1DD"/>
      </x:left>
      <x:top style="thin">
        <x:color rgb="FFBDD1DD"/>
      </x:top>
    </x:border>
    <x:border>
      <x:right style="thin">
        <x:color rgb="FFBDD1DD"/>
      </x:right>
      <x:top style="thin">
        <x:color rgb="FFBDD1DD"/>
      </x:top>
    </x:border>
    <x:border>
      <x:left style="thin">
        <x:color rgb="FFBDD1DD"/>
      </x:left>
      <x:bottom style="thin">
        <x:color rgb="FFBDD1DD"/>
      </x:bottom>
    </x:border>
    <x:border>
      <x:right style="thin">
        <x:color rgb="FFBDD1DD"/>
      </x:right>
      <x:bottom style="thin">
        <x:color rgb="FFBDD1DD"/>
      </x:bottom>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2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7" fillId="2" borderId="0" xfId="0" applyNumberFormat="1" applyFont="1" applyFill="1" applyBorder="1"/>
    <x:xf numFmtId="200" fontId="4" fillId="6" borderId="1" xfId="0" applyNumberFormat="1" applyFont="1" applyFill="1" applyBorder="1" applyAlignment="1">
      <x:alignment vertical="top" wrapText="1"/>
    </x:xf>
    <x:xf numFmtId="200" fontId="4" fillId="6" borderId="2" xfId="0" applyNumberFormat="1" applyFont="1" applyFill="1" applyBorder="1" applyAlignment="1">
      <x:alignment vertical="top" wrapText="1"/>
    </x:xf>
    <x:xf numFmtId="200" fontId="4" fillId="6" borderId="3"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201" fontId="4" fillId="6" borderId="2" xfId="0" applyNumberFormat="1" applyFont="1" applyFill="1" applyBorder="1" applyAlignment="1">
      <x:alignment vertical="top" wrapText="1"/>
    </x:xf>
    <x:xf numFmtId="201" fontId="4" fillId="6" borderId="3"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4"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6"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3" borderId="9" xfId="0" applyNumberFormat="1" applyFont="1" applyFill="1" applyBorder="1" applyAlignment="1">
      <x:alignment vertical="center" wrapText="1"/>
    </x:xf>
    <x:xf numFmtId="0" fontId="0" fillId="3" borderId="10" xfId="0" applyNumberFormat="1" applyFont="1" applyFill="1" applyBorder="1" applyAlignment="1">
      <x:alignment vertical="center" wrapText="1"/>
    </x:xf>
    <x:xf numFmtId="0" fontId="0" fillId="3" borderId="11" xfId="0" applyNumberFormat="1" applyFont="1" applyFill="1" applyBorder="1" applyAlignment="1">
      <x:alignment vertical="center" wrapText="1"/>
    </x:xf>
    <x:xf numFmtId="0" fontId="0" fillId="3" borderId="12" xfId="0" applyNumberFormat="1" applyFont="1" applyFill="1" applyBorder="1" applyAlignment="1">
      <x:alignment vertical="center" wrapText="1"/>
    </x:xf>
    <x:xf numFmtId="202" fontId="4" fillId="0" borderId="1"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8" fillId="5"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4"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vertical="center"/>
    </x:xf>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13" fillId="7" borderId="13" xfId="0" applyNumberFormat="1" applyFont="1" applyFill="1" applyBorder="1"/>
    <x:xf numFmtId="0" fontId="13" fillId="7" borderId="14" xfId="0" applyNumberFormat="1" applyFont="1" applyFill="1" applyBorder="1"/>
    <x:xf numFmtId="0" fontId="13" fillId="7" borderId="13" xfId="0" applyNumberFormat="1" applyFont="1" applyFill="1" applyBorder="1" applyAlignment="1">
      <x:alignment horizontal="center"/>
    </x:xf>
    <x:xf numFmtId="0" fontId="13" fillId="7" borderId="14" xfId="0" applyNumberFormat="1" applyFont="1" applyFill="1" applyBorder="1" applyAlignment="1">
      <x:alignment horizontal="center"/>
    </x:xf>
    <x:xf numFmtId="0" fontId="14" fillId="7" borderId="15" xfId="0" applyNumberFormat="1" applyFont="1" applyFill="1" applyBorder="1"/>
    <x:xf numFmtId="0" fontId="14" fillId="7" borderId="16" xfId="0" applyNumberFormat="1" applyFont="1" applyFill="1" applyBorder="1"/>
    <x:xf numFmtId="0" fontId="14" fillId="7" borderId="15" xfId="0" applyNumberFormat="1" applyFont="1" applyFill="1" applyBorder="1" applyAlignment="1">
      <x:alignment horizontal="center"/>
    </x:xf>
    <x:xf numFmtId="0" fontId="14" fillId="7" borderId="16" xfId="0" applyNumberFormat="1" applyFont="1" applyFill="1" applyBorder="1" applyAlignment="1">
      <x:alignment horizontal="center"/>
    </x:xf>
    <x:xf numFmtId="0" fontId="15" fillId="7" borderId="15" xfId="0" applyNumberFormat="1" applyFont="1" applyFill="1" applyBorder="1"/>
    <x:xf numFmtId="0" fontId="15" fillId="7" borderId="16" xfId="0" applyNumberFormat="1" applyFont="1" applyFill="1" applyBorder="1"/>
    <x:xf numFmtId="0" fontId="15" fillId="7" borderId="15" xfId="0" applyNumberFormat="1" applyFont="1" applyFill="1" applyBorder="1" applyAlignment="1">
      <x:alignment horizontal="center"/>
    </x:xf>
    <x:xf numFmtId="0" fontId="15" fillId="7" borderId="16" xfId="0" applyNumberFormat="1" applyFont="1" applyFill="1" applyBorder="1" applyAlignment="1">
      <x:alignment horizontal="center"/>
    </x:xf>
    <x:xf numFmtId="0" fontId="16" fillId="2"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1" borderId="0" xfId="0" applyNumberFormat="1" applyFont="1" applyFill="1" applyBorder="1"/>
    <x:xf numFmtId="0" fontId="0" fillId="11" borderId="17" xfId="0" applyNumberFormat="1" applyFont="1" applyFill="1" applyBorder="1"/>
    <x:xf numFmtId="0" fontId="0" fillId="11" borderId="18" xfId="0" applyNumberFormat="1" applyFont="1" applyFill="1" applyBorder="1"/>
    <x:xf numFmtId="0" fontId="0" fillId="11" borderId="19" xfId="0" applyNumberFormat="1" applyFont="1" applyFill="1" applyBorder="1"/>
    <x:xf numFmtId="0" fontId="0" fillId="11" borderId="20" xfId="0" applyNumberFormat="1" applyFont="1" applyFill="1" applyBorder="1"/>
    <x:xf numFmtId="0" fontId="0" fillId="11" borderId="21" xfId="0" applyNumberFormat="1" applyFont="1" applyFill="1" applyBorder="1"/>
    <x:xf numFmtId="0" fontId="0" fillId="11" borderId="22" xfId="0" applyNumberFormat="1" applyFont="1" applyFill="1" applyBorder="1"/>
    <x:xf numFmtId="0" fontId="0" fillId="11" borderId="23" xfId="0" applyNumberFormat="1" applyFont="1" applyFill="1" applyBorder="1"/>
    <x:xf numFmtId="0" fontId="0" fillId="11" borderId="24" xfId="0" applyNumberFormat="1" applyFont="1" applyFill="1" applyBorder="1"/>
    <x:xf numFmtId="0" fontId="0" fillId="11" borderId="25" xfId="0" applyNumberFormat="1" applyFont="1" applyFill="1" applyBorder="1"/>
    <x:xf numFmtId="0" fontId="0" fillId="11" borderId="17" xfId="0" applyNumberFormat="1" applyFont="1" applyFill="1" applyBorder="1" applyAlignment="1">
      <x:alignment wrapText="1"/>
    </x:xf>
    <x:xf numFmtId="0" fontId="0" fillId="11" borderId="18" xfId="0" applyNumberFormat="1" applyFont="1" applyFill="1" applyBorder="1" applyAlignment="1">
      <x:alignment wrapText="1"/>
    </x:xf>
    <x:xf numFmtId="0" fontId="0" fillId="11" borderId="19" xfId="0" applyNumberFormat="1" applyFont="1" applyFill="1" applyBorder="1" applyAlignment="1">
      <x:alignment wrapText="1"/>
    </x:xf>
    <x:xf numFmtId="0" fontId="0" fillId="11" borderId="20" xfId="0" applyNumberFormat="1" applyFont="1" applyFill="1" applyBorder="1" applyAlignment="1">
      <x:alignment wrapText="1"/>
    </x:xf>
    <x:xf numFmtId="0" fontId="0" fillId="11" borderId="21" xfId="0" applyNumberFormat="1" applyFont="1" applyFill="1" applyBorder="1" applyAlignment="1">
      <x:alignment wrapText="1"/>
    </x:xf>
    <x:xf numFmtId="0" fontId="0" fillId="11" borderId="22" xfId="0" applyNumberFormat="1" applyFont="1" applyFill="1" applyBorder="1" applyAlignment="1">
      <x:alignment wrapText="1"/>
    </x:xf>
    <x:xf numFmtId="0" fontId="0" fillId="11" borderId="23" xfId="0" applyNumberFormat="1" applyFont="1" applyFill="1" applyBorder="1" applyAlignment="1">
      <x:alignment wrapText="1"/>
    </x:xf>
    <x:xf numFmtId="0" fontId="0" fillId="11" borderId="24" xfId="0" applyNumberFormat="1" applyFont="1" applyFill="1" applyBorder="1" applyAlignment="1">
      <x:alignment wrapText="1"/>
    </x:xf>
    <x:xf numFmtId="0" fontId="0" fillId="11" borderId="25" xfId="0" applyNumberFormat="1" applyFont="1" applyFill="1" applyBorder="1" applyAlignment="1">
      <x:alignment wrapText="1"/>
    </x:xf>
    <x:xf numFmtId="0" fontId="0" fillId="11" borderId="17" xfId="0" applyNumberFormat="1" applyFont="1" applyFill="1" applyBorder="1" applyAlignment="1">
      <x:alignment vertical="center" wrapText="1"/>
    </x:xf>
    <x:xf numFmtId="0" fontId="0" fillId="11" borderId="18" xfId="0" applyNumberFormat="1" applyFont="1" applyFill="1" applyBorder="1" applyAlignment="1">
      <x:alignment vertical="center" wrapText="1"/>
    </x:xf>
    <x:xf numFmtId="0" fontId="0" fillId="11" borderId="19" xfId="0" applyNumberFormat="1" applyFont="1" applyFill="1" applyBorder="1" applyAlignment="1">
      <x:alignment vertical="center" wrapText="1"/>
    </x:xf>
    <x:xf numFmtId="0" fontId="0" fillId="11" borderId="20" xfId="0" applyNumberFormat="1" applyFont="1" applyFill="1" applyBorder="1" applyAlignment="1">
      <x:alignment vertical="center" wrapText="1"/>
    </x:xf>
    <x:xf numFmtId="0" fontId="0" fillId="11" borderId="21" xfId="0" applyNumberFormat="1" applyFont="1" applyFill="1" applyBorder="1" applyAlignment="1">
      <x:alignment vertical="center" wrapText="1"/>
    </x:xf>
    <x:xf numFmtId="0" fontId="0" fillId="11" borderId="22" xfId="0" applyNumberFormat="1" applyFont="1" applyFill="1" applyBorder="1" applyAlignment="1">
      <x:alignment vertical="center" wrapText="1"/>
    </x:xf>
    <x:xf numFmtId="0" fontId="0" fillId="11" borderId="23" xfId="0" applyNumberFormat="1" applyFont="1" applyFill="1" applyBorder="1" applyAlignment="1">
      <x:alignment vertical="center" wrapText="1"/>
    </x:xf>
    <x:xf numFmtId="0" fontId="0" fillId="11" borderId="24" xfId="0" applyNumberFormat="1" applyFont="1" applyFill="1" applyBorder="1" applyAlignment="1">
      <x:alignment vertical="center" wrapText="1"/>
    </x:xf>
    <x:xf numFmtId="0" fontId="0" fillId="11" borderId="25" xfId="0" applyNumberFormat="1" applyFont="1" applyFill="1" applyBorder="1" applyAlignment="1">
      <x:alignment vertical="center" wrapText="1"/>
    </x:xf>
    <x:xf numFmtId="0" fontId="13" fillId="7" borderId="0" xfId="0" applyNumberFormat="1" applyFont="1" applyFill="1" applyBorder="1"/>
    <x:xf numFmtId="0" fontId="13" fillId="7" borderId="0" xfId="0" applyNumberFormat="1" applyFont="1" applyFill="1" applyBorder="1" applyAlignment="1">
      <x:alignment horizontal="center"/>
    </x:xf>
    <x:xf numFmtId="0" fontId="17" fillId="11" borderId="0" xfId="0" applyNumberFormat="1" applyFont="1" applyFill="1" applyBorder="1"/>
    <x:xf numFmtId="0" fontId="17" fillId="11" borderId="0" xfId="0" applyNumberFormat="1" applyFont="1" applyFill="1" applyBorder="1" applyAlignment="1">
      <x:alignment horizontal="center"/>
    </x:xf>
    <x:xf numFmtId="0" fontId="18" fillId="9" borderId="0" xfId="0" applyNumberFormat="1" applyFont="1" applyFill="1" applyBorder="1"/>
    <x:xf numFmtId="0" fontId="18" fillId="9" borderId="0" xfId="0" applyNumberFormat="1" applyFont="1" applyFill="1" applyBorder="1" applyAlignment="1">
      <x:alignment horizontal="center"/>
    </x:xf>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xf numFmtId="0" fontId="19" fillId="12" borderId="0" xfId="0" applyNumberFormat="1" applyFont="1" applyFill="1" applyBorder="1" applyAlignment="1">
      <x:alignment vertical="center" wrapText="1"/>
    </x:xf>
  </x:cellXfs>
  <x:cellStyles count="1">
    <x:cellStyle name="Normal" xfId="0"/>
  </x:cellStyles>
  <x:dxfs count="17">
    <x:dxf>
      <x:font>
        <x:color rgb="FF1F6B5C"/>
      </x:font>
      <x:fill>
        <x:patternFill patternType="solid">
          <x:bgColor rgb="FFE3F1EA"/>
        </x:patternFill>
      </x:fill>
    </x:dxf>
    <x:dxf>
      <x:font>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f75b7c7dd64314" /><Relationship Type="http://schemas.openxmlformats.org/officeDocument/2006/relationships/theme" Target="/xl/theme/theme1.xml" Id="R0f3bbdeaaaa04851" /><Relationship Type="http://schemas.openxmlformats.org/officeDocument/2006/relationships/sharedStrings" Target="/xl/sharedStrings.xml" Id="R2e7207ae1e444c56" /><Relationship Type="http://schemas.openxmlformats.org/officeDocument/2006/relationships/worksheet" Target="/xl/worksheets/sheet1.xml" Id="R80e4dc78a8504201" /><Relationship Type="http://schemas.openxmlformats.org/officeDocument/2006/relationships/worksheet" Target="/xl/worksheets/sheet2.xml" Id="R47d0a600e92e42f5" /><Relationship Type="http://schemas.openxmlformats.org/officeDocument/2006/relationships/worksheet" Target="/xl/worksheets/sheet3.xml" Id="Rdf5a2be158c84811" /><Relationship Type="http://schemas.openxmlformats.org/officeDocument/2006/relationships/worksheet" Target="/xl/worksheets/sheet4.xml" Id="R70101231f62e487f" /><Relationship Type="http://schemas.openxmlformats.org/officeDocument/2006/relationships/worksheet" Target="/xl/worksheets/sheet5.xml" Id="R36eafbfc46544cda" /><Relationship Type="http://schemas.openxmlformats.org/officeDocument/2006/relationships/worksheet" Target="/xl/worksheets/sheet6.xml" Id="R5e6b338009864e26" /><Relationship Type="http://schemas.openxmlformats.org/officeDocument/2006/relationships/worksheet" Target="/xl/worksheets/sheet7.xml" Id="Ra6a0eb0b4ed94ea2" /><Relationship Type="http://schemas.openxmlformats.org/officeDocument/2006/relationships/worksheet" Target="/xl/worksheets/sheet8.xml" Id="R2e29e909ec9a4f7e" /><Relationship Type="http://schemas.openxmlformats.org/officeDocument/2006/relationships/worksheet" Target="/xl/worksheets/sheet9.xml" Id="R2e92dc8c10da4e58" /><Relationship Type="http://schemas.openxmlformats.org/officeDocument/2006/relationships/worksheet" Target="/xl/worksheets/sheet10.xml" Id="R06e9547984cb4dca" /><Relationship Type="http://schemas.openxmlformats.org/officeDocument/2006/relationships/worksheet" Target="/xl/worksheets/sheet11.xml" Id="R4347a09bbd474516" /><Relationship Type="http://schemas.openxmlformats.org/officeDocument/2006/relationships/worksheet" Target="/xl/worksheets/sheet12.xml" Id="R50ba5541b2f9497f" /><Relationship Type="http://schemas.openxmlformats.org/officeDocument/2006/relationships/worksheet" Target="/xl/worksheets/sheet13.xml" Id="R6ee9048e8f684f88" /><Relationship Type="http://schemas.openxmlformats.org/officeDocument/2006/relationships/worksheet" Target="/xl/worksheets/sheet14.xml" Id="R9773619ea718422d" /><Relationship Type="http://schemas.openxmlformats.org/officeDocument/2006/relationships/worksheet" Target="/xl/worksheets/sheet15.xml" Id="R57c038684b3943c9" /><Relationship Type="http://schemas.openxmlformats.org/officeDocument/2006/relationships/worksheet" Target="/xl/worksheets/sheet16.xml" Id="R06375663659f4737" /><Relationship Type="http://schemas.openxmlformats.org/officeDocument/2006/relationships/worksheet" Target="/xl/worksheets/sheet17.xml" Id="Rd891f1d781d5464f" /><Relationship Type="http://schemas.openxmlformats.org/officeDocument/2006/relationships/worksheet" Target="/xl/worksheets/sheet18.xml" Id="R0862b8dbafab496b" /><Relationship Type="http://schemas.openxmlformats.org/officeDocument/2006/relationships/worksheet" Target="/xl/worksheets/sheet19.xml" Id="Rdfab423d1f0e4d90" /><Relationship Type="http://schemas.openxmlformats.org/officeDocument/2006/relationships/worksheet" Target="/xl/worksheets/sheet20.xml" Id="R3a95f2d4577f47c7" /><Relationship Type="http://schemas.openxmlformats.org/officeDocument/2006/relationships/worksheet" Target="/xl/worksheets/sheet21.xml" Id="R9f71496eb84343f5" /><Relationship Type="http://schemas.openxmlformats.org/officeDocument/2006/relationships/worksheet" Target="/xl/worksheets/sheet22.xml" Id="R09523c428a844bf2" /></Relationships>
</file>

<file path=xl/tables/table1.xml><?xml version="1.0" encoding="utf-8"?>
<x:table xmlns:x="http://schemas.openxmlformats.org/spreadsheetml/2006/main" id="4" name="ConversationSignalTable" displayName="ConversationSignalTable" ref="A5:K35" headerRowCount="1" totalsRowCount="0" totalsRowShown="0">
  <x:autoFilter ref="A5:K35"/>
  <x:tableColumns count="11">
    <x:tableColumn id="1" name="信号ID"/>
    <x:tableColumn id="2" name="客户表达示例"/>
    <x:tableColumn id="3" name="信号类型"/>
    <x:tableColumn id="4" name="可能需要/状态"/>
    <x:tableColumn id="5" name="证据来源"/>
    <x:tableColumn id="6" name="置信度上限"/>
    <x:tableColumn id="7" name="允许动作"/>
    <x:tableColumn id="8" name="可影响排序"/>
    <x:tableColumn id="9" name="必须确认"/>
    <x:tableColumn id="10" name="建议追问"/>
    <x:tableColumn id="11" name="禁止过度推断"/>
  </x:tableColumns>
  <x:tableStyleInfo name="TableStyleMedium2" showFirstColumn="0" showLastColumn="0" showRowStripes="1" showColumnStripes="0"/>
</x:table>
</file>

<file path=xl/tables/table2.xml><?xml version="1.0" encoding="utf-8"?>
<x:table xmlns:x="http://schemas.openxmlformats.org/spreadsheetml/2006/main" id="5" name="FollowUpRuleTable" displayName="FollowUpRuleTable" ref="A5:H20" headerRowCount="1" totalsRowCount="0" totalsRowShown="0">
  <x:autoFilter ref="A5:H20"/>
  <x:tableColumns count="8">
    <x:tableColumn id="1" name="优先级"/>
    <x:tableColumn id="2" name="追问主题"/>
    <x:tableColumn id="3" name="触发条件"/>
    <x:tableColumn id="4" name="为什么必须问"/>
    <x:tableColumn id="5" name="自然语言问题"/>
    <x:tableColumn id="6" name="阻断级别"/>
    <x:tableColumn id="7" name="何时不问"/>
    <x:tableColumn id="8" name="影响的决策"/>
  </x:tableColumns>
  <x:tableStyleInfo name="TableStyleMedium2" showFirstColumn="0" showLastColumn="0" showRowStripes="1" showColumnStripes="0"/>
</x:table>
</file>

<file path=xl/tables/table3.xml><?xml version="1.0" encoding="utf-8"?>
<x:table xmlns:x="http://schemas.openxmlformats.org/spreadsheetml/2006/main" id="6" name="AgentProtocolTable" displayName="AgentProtocolTable" ref="A5:E16" headerRowCount="1" totalsRowCount="0" totalsRowShown="0">
  <x:autoFilter ref="A5:E16"/>
  <x:tableColumns count="5">
    <x:tableColumn id="1" name="步骤"/>
    <x:tableColumn id="2" name="智能体动作"/>
    <x:tableColumn id="3" name="结构化字段"/>
    <x:tableColumn id="4" name="硬规则"/>
    <x:tableColumn id="5" name="阶段输出"/>
  </x:tableColumns>
  <x:tableStyleInfo name="TableStyleMedium2" showFirstColumn="0" showLastColumn="0" showRowStripes="1" showColumnStripes="0"/>
</x:table>
</file>

<file path=xl/tables/table4.xml><?xml version="1.0" encoding="utf-8"?>
<x:table xmlns:x="http://schemas.openxmlformats.org/spreadsheetml/2006/main" id="2" name="RouteModuleTable" displayName="RouteModuleTable" ref="A5:AN29" headerRowCount="1" totalsRowCount="0" totalsRowShown="0">
  <x:autoFilter ref="A5:AN29"/>
  <x:tableColumns count="40">
    <x:tableColumn id="1" name="模块ID"/>
    <x:tableColumn id="2" name="默认日"/>
    <x:tableColumn id="3" name="路线版本"/>
    <x:tableColumn id="4" name="模块名称"/>
    <x:tableColumn id="5" name="内容角色"/>
    <x:tableColumn id="6" name="点位ID"/>
    <x:tableColumn id="7" name="核心节点"/>
    <x:tableColumn id="8" name="给游客的承诺"/>
    <x:tableColumn id="9" name="只讲一个核心解释"/>
    <x:tableColumn id="10" name="游客观察任务"/>
    <x:tableColumn id="11" name="时长(分钟)"/>
    <x:tableColumn id="12" name="体力1-3"/>
    <x:tableColumn id="13" name="雨天适配1-3"/>
    <x:tableColumn id="14" name="炎热适配1-3"/>
    <x:tableColumn id="15" name="首次经典"/>
    <x:tableColumn id="16" name="赛博摄影"/>
    <x:tableColumn id="17" name="文化历史"/>
    <x:tableColumn id="18" name="美食生活"/>
    <x:tableColumn id="19" name="亲子轻松"/>
    <x:tableColumn id="20" name="复游客"/>
    <x:tableColumn id="21" name="付费潜力"/>
    <x:tableColumn id="22" name="基础优先分"/>
    <x:tableColumn id="23" name="重复组"/>
    <x:tableColumn id="24" name="默认状态"/>
    <x:tableColumn id="25" name="来源URL"/>
    <x:tableColumn id="26" name="内部删减规则"/>
    <x:tableColumn id="27" name="显性意图标签"/>
    <x:tableColumn id="28" name="潜在意图标签"/>
    <x:tableColumn id="29" name="视觉奇观"/>
    <x:tableColumn id="30" name="历史理解"/>
    <x:tableColumn id="31" name="在地生活"/>
    <x:tableColumn id="32" name="饮食互动"/>
    <x:tableColumn id="33" name="低摩擦"/>
    <x:tableColumn id="34" name="摄影创作"/>
    <x:tableColumn id="35" name="亲子教育"/>
    <x:tableColumn id="36" name="复游新鲜感"/>
    <x:tableColumn id="37" name="禁止/降级条件"/>
    <x:tableColumn id="38" name="必须确认字段"/>
    <x:tableColumn id="39" name="智能体检索摘要"/>
    <x:tableColumn id="40" name="对客现实提醒"/>
  </x:tableColumns>
  <x:tableStyleInfo name="TableStyleMedium2" showFirstColumn="0" showLastColumn="0" showRowStripes="1" showColumnStripes="0"/>
</x:table>
</file>

<file path=xl/tables/table5.xml><?xml version="1.0" encoding="utf-8"?>
<x:table xmlns:x="http://schemas.openxmlformats.org/spreadsheetml/2006/main" id="1" name="PointContentTable" displayName="PointContentTable" ref="A5:AH45" headerRowCount="1" totalsRowCount="0" totalsRowShown="0">
  <x:autoFilter ref="A5:AH45"/>
  <x:tableColumns count="34">
    <x:tableColumn id="1" name="ID"/>
    <x:tableColumn id="2" name="地点/体验"/>
    <x:tableColumn id="3" name="区域"/>
    <x:tableColumn id="4" name="原始模块"/>
    <x:tableColumn id="5" name="类型"/>
    <x:tableColumn id="6" name="研究推荐"/>
    <x:tableColumn id="7" name="产品角色"/>
    <x:tableColumn id="8" name="原适合客群"/>
    <x:tableColumn id="9" name="产品分"/>
    <x:tableColumn id="10" name="证据分"/>
    <x:tableColumn id="11" name="证据等级"/>
    <x:tableColumn id="12" name="停留(分钟)"/>
    <x:tableColumn id="13" name="最佳时段"/>
    <x:tableColumn id="14" name="交通"/>
    <x:tableColumn id="15" name="外国人摩擦"/>
    <x:tableColumn id="16" name="天气/体力"/>
    <x:tableColumn id="17" name="风险"/>
    <x:tableColumn id="18" name="深层解释"/>
    <x:tableColumn id="19" name="游客观察任务"/>
    <x:tableColumn id="20" name="来源URL1"/>
    <x:tableColumn id="21" name="来源URL2"/>
    <x:tableColumn id="22" name="检查日期"/>
    <x:tableColumn id="23" name="内容角色"/>
    <x:tableColumn id="24" name="海外引流力"/>
    <x:tableColumn id="25" name="到访满意度"/>
    <x:tableColumn id="26" name="付费潜力"/>
    <x:tableColumn id="27" name="默认输出级别"/>
    <x:tableColumn id="28" name="重复组"/>
    <x:tableColumn id="29" name="客群标签"/>
    <x:tableColumn id="30" name="适合输出长度"/>
    <x:tableColumn id="31" name="游客输出标题"/>
    <x:tableColumn id="32" name="对外一句话"/>
    <x:tableColumn id="33" name="内部删减规则"/>
    <x:tableColumn id="34" name="输出优先分"/>
  </x:tableColumns>
  <x:tableStyleInfo name="TableStyleMedium2" showFirstColumn="0" showLastColumn="0" showRowStripes="1" showColumnStripes="0"/>
</x:table>
</file>

<file path=xl/tables/table6.xml><?xml version="1.0" encoding="utf-8"?>
<x:table xmlns:x="http://schemas.openxmlformats.org/spreadsheetml/2006/main" id="9" name="StoryCardTable" displayName="StoryCardTable" ref="A5:O20" headerRowCount="1" totalsRowCount="0" totalsRowShown="0">
  <x:autoFilter ref="A5:O20"/>
  <x:tableColumns count="15">
    <x:tableColumn id="1" name="卡ID"/>
    <x:tableColumn id="2" name="主题"/>
    <x:tableColumn id="3" name="适用节点"/>
    <x:tableColumn id="4" name="现场切入"/>
    <x:tableColumn id="5" name="深层解释"/>
    <x:tableColumn id="6" name="不要这样说"/>
    <x:tableColumn id="7" name="给游客的问题"/>
    <x:tableColumn id="8" name="证据状态"/>
    <x:tableColumn id="9" name="来源URL1"/>
    <x:tableColumn id="10" name="来源URL2"/>
    <x:tableColumn id="11" name="下一步"/>
    <x:tableColumn id="12" name="内容角色"/>
    <x:tableColumn id="13" name="适合客群"/>
    <x:tableColumn id="14" name="适合长度"/>
    <x:tableColumn id="15" name="使用条件"/>
  </x:tableColumns>
  <x:tableStyleInfo name="TableStyleMedium2" showFirstColumn="0" showLastColumn="0" showRowStripes="1" showColumnStripes="0"/>
</x:table>
</file>

<file path=xl/tables/table7.xml><?xml version="1.0" encoding="utf-8"?>
<x:table xmlns:x="http://schemas.openxmlformats.org/spreadsheetml/2006/main" id="3" name="ProfileRuleTable" displayName="ProfileRuleTable" ref="A5:G11" headerRowCount="1" totalsRowCount="0" totalsRowShown="0">
  <x:autoFilter ref="A5:G11"/>
  <x:tableColumns count="7">
    <x:tableColumn id="1" name="客群"/>
    <x:tableColumn id="2" name="核心需求"/>
    <x:tableColumn id="3" name="输出承诺"/>
    <x:tableColumn id="4" name="最常见失败"/>
    <x:tableColumn id="5" name="必须优先"/>
    <x:tableColumn id="6" name="首先删除"/>
    <x:tableColumn id="7" name="建议停留"/>
  </x:tableColumns>
  <x:tableStyleInfo name="TableStyleMedium2" showFirstColumn="0" showLastColumn="0" showRowStripes="1" showColumnStripes="0"/>
</x:table>
</file>

<file path=xl/tables/table8.xml><?xml version="1.0" encoding="utf-8"?>
<x:table xmlns:x="http://schemas.openxmlformats.org/spreadsheetml/2006/main" id="8" name="OutputRuleTable" displayName="OutputRuleTable" ref="A5:D23" headerRowCount="1" totalsRowCount="0" totalsRowShown="0">
  <x:autoFilter ref="A5:D23"/>
  <x:tableColumns count="4">
    <x:tableColumn id="1" name="规则层"/>
    <x:tableColumn id="2" name="控制项"/>
    <x:tableColumn id="3" name="明确规则"/>
    <x:tableColumn id="4" name="执行方式"/>
  </x:tableColumns>
  <x:tableStyleInfo name="TableStyleMedium2" showFirstColumn="0" showLastColumn="0" showRowStripes="1" showColumnStripes="0"/>
</x:table>
</file>

<file path=xl/tables/table9.xml><?xml version="1.0" encoding="utf-8"?>
<x:table xmlns:x="http://schemas.openxmlformats.org/spreadsheetml/2006/main" id="10" name="FieldCheckTableV03" displayName="FieldCheckTableV03" ref="A5:K35" headerRowCount="1" totalsRowCount="0" totalsRowShown="0">
  <x:autoFilter ref="A5:K35"/>
  <x:tableColumns count="11">
    <x:tableColumn id="1" name="核验ID"/>
    <x:tableColumn id="2" name="模块"/>
    <x:tableColumn id="3" name="对象"/>
    <x:tableColumn id="4" name="方式"/>
    <x:tableColumn id="5" name="优先级"/>
    <x:tableColumn id="6" name="状态"/>
    <x:tableColumn id="7" name="核验人"/>
    <x:tableColumn id="8" name="核验日期"/>
    <x:tableColumn id="9" name="必须记录"/>
    <x:tableColumn id="10" name="合格交付物"/>
    <x:tableColumn id="11" name="来源URL"/>
  </x:tableColumns>
  <x:tableStyleInfo name="TableStyleMedium2" showFirstColumn="0" showLastColumn="0" showRowStripes="1" showColumnStripes="0"/>
</x:table>
</file>

<file path=xl/tables/table10.xml><?xml version="1.0" encoding="utf-8"?>
<x:table xmlns:x="http://schemas.openxmlformats.org/spreadsheetml/2006/main" id="11" name="LaunchFieldCheckTable" displayName="LaunchFieldCheckTable" ref="A5:P15" headerRowCount="1" totalsRowCount="0" totalsRowShown="0">
  <x:autoFilter ref="A5:P15"/>
  <x:tableColumns count="16">
    <x:tableColumn id="1" name="首发ID"/>
    <x:tableColumn id="2" name="原核验ID"/>
    <x:tableColumn id="3" name="对应产品"/>
    <x:tableColumn id="4" name="核验对象"/>
    <x:tableColumn id="5" name="核验方式"/>
    <x:tableColumn id="6" name="为何首发必须"/>
    <x:tableColumn id="7" name="优先级"/>
    <x:tableColumn id="8" name="负责人"/>
    <x:tableColumn id="9" name="计划日期"/>
    <x:tableColumn id="10" name="状态"/>
    <x:tableColumn id="11" name="通过标准"/>
    <x:tableColumn id="12" name="必须留存证据"/>
    <x:tableColumn id="13" name="阻断条件"/>
    <x:tableColumn id="14" name="下一步"/>
    <x:tableColumn id="15" name="来源URL"/>
    <x:tableColumn id="16" name="备注"/>
  </x:tableColumns>
  <x:tableStyleInfo name="TableStyleMedium2" showFirstColumn="0" showLastColumn="0" showRowStripes="1" showColumnStripes="0"/>
</x:table>
</file>

<file path=xl/tables/table11.xml><?xml version="1.0" encoding="utf-8"?>
<x:table xmlns:x="http://schemas.openxmlformats.org/spreadsheetml/2006/main" id="12" name="ExperienceProductTable" displayName="ExperienceProductTable" ref="A5:R8" headerRowCount="1" totalsRowCount="0" totalsRowShown="0">
  <x:autoFilter ref="A5:R8"/>
  <x:tableColumns count="18">
    <x:tableColumn id="1" name="产品ID"/>
    <x:tableColumn id="2" name="英文产品名"/>
    <x:tableColumn id="3" name="中文产品名"/>
    <x:tableColumn id="4" name="核心承诺"/>
    <x:tableColumn id="5" name="适合客群"/>
    <x:tableColumn id="6" name="不适合客群"/>
    <x:tableColumn id="7" name="建议时长"/>
    <x:tableColumn id="8" name="建议人数"/>
    <x:tableColumn id="9" name="公开市场参照价"/>
    <x:tableColumn id="10" name="首轮测试价"/>
    <x:tableColumn id="11" name="包含"/>
    <x:tableColumn id="12" name="不包含"/>
    <x:tableColumn id="13" name="体力/安全提示"/>
    <x:tableColumn id="14" name="雨天方案"/>
    <x:tableColumn id="15" name="销售状态"/>
    <x:tableColumn id="16" name="候选供应商"/>
    <x:tableColumn id="17" name="前置核验"/>
    <x:tableColumn id="18" name="来源URL"/>
  </x:tableColumns>
  <x:tableStyleInfo name="TableStyleMedium2" showFirstColumn="0" showLastColumn="0" showRowStripes="1" showColumnStripes="0"/>
</x:table>
</file>

<file path=xl/tables/table12.xml><?xml version="1.0" encoding="utf-8"?>
<x:table xmlns:x="http://schemas.openxmlformats.org/spreadsheetml/2006/main" id="13" name="SupplierCandidateTable" displayName="SupplierCandidateTable" ref="A5:S8" headerRowCount="1" totalsRowCount="0" totalsRowShown="0">
  <x:autoFilter ref="A5:S8"/>
  <x:tableColumns count="19">
    <x:tableColumn id="1" name="供应商ID"/>
    <x:tableColumn id="2" name="候选名称"/>
    <x:tableColumn id="3" name="来源渠道"/>
    <x:tableColumn id="4" name="联系状态"/>
    <x:tableColumn id="5" name="身份/资质"/>
    <x:tableColumn id="6" name="英语实测"/>
    <x:tableColumn id="7" name="人数与价格"/>
    <x:tableColumn id="8" name="取消规则"/>
    <x:tableColumn id="9" name="拍摄许可"/>
    <x:tableColumn id="10" name="保险与安全"/>
    <x:tableColumn id="11" name="付款与结算"/>
    <x:tableColumn id="12" name="公开产品能力"/>
    <x:tableColumn id="13" name="公开价格"/>
    <x:tableColumn id="14" name="公开付款/取消信息"/>
    <x:tableColumn id="15" name="资料与影像授权"/>
    <x:tableColumn id="16" name="门槛通过数"/>
    <x:tableColumn id="17" name="准入状态"/>
    <x:tableColumn id="18" name="必须补证"/>
    <x:tableColumn id="19" name="来源URL"/>
  </x:tableColumns>
  <x:tableStyleInfo name="TableStyleMedium2" showFirstColumn="0" showLastColumn="0" showRowStripes="1" showColumnStripes="0"/>
</x:table>
</file>

<file path=xl/tables/table13.xml><?xml version="1.0" encoding="utf-8"?>
<x:table xmlns:x="http://schemas.openxmlformats.org/spreadsheetml/2006/main" id="14" name="SupplierOutreachTable" displayName="SupplierOutreachTable" ref="A5:R8" headerRowCount="1" totalsRowCount="0" totalsRowShown="0">
  <x:autoFilter ref="A5:R8"/>
  <x:tableColumns count="18">
    <x:tableColumn id="1" name="联系ID"/>
    <x:tableColumn id="2" name="供应商ID"/>
    <x:tableColumn id="3" name="对应产品"/>
    <x:tableColumn id="4" name="联系渠道"/>
    <x:tableColumn id="5" name="公开联系路径"/>
    <x:tableColumn id="6" name="联系状态"/>
    <x:tableColumn id="7" name="负责人"/>
    <x:tableColumn id="8" name="首次联系日期"/>
    <x:tableColumn id="9" name="中文首封"/>
    <x:tableColumn id="10" name="English opener"/>
    <x:tableColumn id="11" name="首轮必须确认"/>
    <x:tableColumn id="12" name="预期回复时间"/>
    <x:tableColumn id="13" name="跟进日期"/>
    <x:tableColumn id="14" name="回复摘要"/>
    <x:tableColumn id="15" name="决策"/>
    <x:tableColumn id="16" name="下一步"/>
    <x:tableColumn id="17" name="来源URL"/>
    <x:tableColumn id="18" name="边界提醒"/>
  </x:tableColumns>
  <x:tableStyleInfo name="TableStyleMedium2" showFirstColumn="0" showLastColumn="0" showRowStripes="1" showColumnStripes="0"/>
</x:table>
</file>

<file path=xl/tables/table14.xml><?xml version="1.0" encoding="utf-8"?>
<x:table xmlns:x="http://schemas.openxmlformats.org/spreadsheetml/2006/main" id="15" name="FieldRunLogTable" displayName="FieldRunLogTable" ref="A5:V15" headerRowCount="1" totalsRowCount="0" totalsRowShown="0">
  <x:autoFilter ref="A5:V15"/>
  <x:tableColumns count="22">
    <x:tableColumn id="1" name="记录ID"/>
    <x:tableColumn id="2" name="首发ID"/>
    <x:tableColumn id="3" name="核验场景"/>
    <x:tableColumn id="4" name="建议顺序"/>
    <x:tableColumn id="5" name="方式"/>
    <x:tableColumn id="6" name="建议时段"/>
    <x:tableColumn id="7" name="计划日期"/>
    <x:tableColumn id="8" name="核验人"/>
    <x:tableColumn id="9" name="同行测试者"/>
    <x:tableColumn id="10" name="天气/人流"/>
    <x:tableColumn id="11" name="开始时间"/>
    <x:tableColumn id="12" name="结束时间"/>
    <x:tableColumn id="13" name="实际分钟"/>
    <x:tableColumn id="14" name="步数"/>
    <x:tableColumn id="15" name="连续台阶/坡度"/>
    <x:tableColumn id="16" name="正确入口/出口"/>
    <x:tableColumn id="17" name="厕所/座椅/补水"/>
    <x:tableColumn id="18" name="拥挤/安全/隐私"/>
    <x:tableColumn id="19" name="替代与退出点"/>
    <x:tableColumn id="20" name="证据链接"/>
    <x:tableColumn id="21" name="结果"/>
    <x:tableColumn id="22" name="问题与修改"/>
  </x:tableColumns>
  <x:tableStyleInfo name="TableStyleMedium2" showFirstColumn="0" showLastColumn="0" showRowStripes="1" showColumnStripes="0"/>
</x:table>
</file>

<file path=xl/tables/table15.xml><?xml version="1.0" encoding="utf-8"?>
<x:table xmlns:x="http://schemas.openxmlformats.org/spreadsheetml/2006/main" id="16" name="EnglishServiceTestTable" displayName="EnglishServiceTestTable" ref="A5:J15" headerRowCount="1" totalsRowCount="0" totalsRowShown="0">
  <x:autoFilter ref="A5:J15"/>
  <x:tableColumns count="10">
    <x:tableColumn id="1" name="项目"/>
    <x:tableColumn id="2" name="权重"/>
    <x:tableColumn id="3" name="测试场景/问题"/>
    <x:tableColumn id="4" name="通过证据"/>
    <x:tableColumn id="5" name="SUP-CQ-001分数"/>
    <x:tableColumn id="6" name="SUP-CQ-001记录"/>
    <x:tableColumn id="7" name="SUP-CQ-002分数"/>
    <x:tableColumn id="8" name="SUP-CQ-002记录"/>
    <x:tableColumn id="9" name="SUP-CQ-003分数"/>
    <x:tableColumn id="10" name="SUP-CQ-003记录"/>
  </x:tableColumns>
  <x:tableStyleInfo name="TableStyleMedium2" showFirstColumn="0" showLastColumn="0" showRowStripes="1" showColumnStripes="0"/>
</x:table>
</file>

<file path=xl/tables/table16.xml><?xml version="1.0" encoding="utf-8"?>
<x:table xmlns:x="http://schemas.openxmlformats.org/spreadsheetml/2006/main" id="17" name="SourceLedgerV03" displayName="SourceLedgerV03" ref="A5:I44" headerRowCount="1" totalsRowCount="0" totalsRowShown="0">
  <x:autoFilter ref="A5:I44"/>
  <x:tableColumns count="9">
    <x:tableColumn id="1" name="来源ID"/>
    <x:tableColumn id="2" name="来源名称"/>
    <x:tableColumn id="3" name="来源/机构"/>
    <x:tableColumn id="4" name="层级"/>
    <x:tableColumn id="5" name="主要用途"/>
    <x:tableColumn id="6" name="发布日期/状态"/>
    <x:tableColumn id="7" name="核心信息"/>
    <x:tableColumn id="8" name="URL"/>
    <x:tableColumn id="9" name="广告风险"/>
  </x:tableColumns>
  <x:tableStyleInfo name="TableStyleMedium2" showFirstColumn="0" showLastColumn="0" showRowStripes="1" showColumnStripes="0"/>
</x:table>
</file>

<file path=xl/tables/table17.xml><?xml version="1.0" encoding="utf-8"?>
<x:table xmlns:x="http://schemas.openxmlformats.org/spreadsheetml/2006/main" id="18" name="ParameterDictionary" displayName="ParameterDictionary" ref="A5:G26" headerRowCount="1" totalsRowCount="0" totalsRowShown="0">
  <x:autoFilter ref="A5:G26"/>
  <x:tableColumns count="7">
    <x:tableColumn id="1" name="字段组"/>
    <x:tableColumn id="2" name="字段/参数"/>
    <x:tableColumn id="3" name="定义/用途"/>
    <x:tableColumn id="4" name="取值1"/>
    <x:tableColumn id="5" name="取值2"/>
    <x:tableColumn id="6" name="取值3"/>
    <x:tableColumn id="7" name="备注"/>
  </x:tableColumns>
  <x:tableStyleInfo name="TableStyleMedium2" showFirstColumn="0" showLastColumn="0" showRowStripes="1" showColumnStripes="0"/>
</x:table>
</file>

<file path=xl/tables/table18.xml><?xml version="1.0" encoding="utf-8"?>
<x:table xmlns:x="http://schemas.openxmlformats.org/spreadsheetml/2006/main" id="7" name="ConversationTestTable" displayName="ConversationTestTable" ref="A5:F11" headerRowCount="1" totalsRowCount="0" totalsRowShown="0">
  <x:autoFilter ref="A5:F11"/>
  <x:tableColumns count="6">
    <x:tableColumn id="1" name="测试ID"/>
    <x:tableColumn id="2" name="客户对话"/>
    <x:tableColumn id="3" name="应识别的旅行者状态"/>
    <x:tableColumn id="4" name="必须追问"/>
    <x:tableColumn id="5" name="预期优先模块"/>
    <x:tableColumn id="6" name="禁止推断/失败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7dfc5d8762a44f7" /></Relationships>
</file>

<file path=xl/worksheets/_rels/sheet4.xml.rels>&#65279;<?xml version="1.0" encoding="utf-8"?><Relationships xmlns="http://schemas.openxmlformats.org/package/2006/relationships"><Relationship Type="http://schemas.openxmlformats.org/officeDocument/2006/relationships/table" Target="/xl/tables/table2.xml" Id="R1ef4c11f998f4668" /></Relationships>
</file>

<file path=xl/worksheets/_rels/sheet5.xml.rels>&#65279;<?xml version="1.0" encoding="utf-8"?><Relationships xmlns="http://schemas.openxmlformats.org/package/2006/relationships"><Relationship Type="http://schemas.openxmlformats.org/officeDocument/2006/relationships/table" Target="/xl/tables/table3.xml" Id="R4dc381e7a7644122" /></Relationships>
</file>

<file path=xl/worksheets/_rels/sheet7.xml.rels>&#65279;<?xml version="1.0" encoding="utf-8"?><Relationships xmlns="http://schemas.openxmlformats.org/package/2006/relationships"><Relationship Type="http://schemas.openxmlformats.org/officeDocument/2006/relationships/table" Target="/xl/tables/table4.xml" Id="R60d857b140664921" /></Relationships>
</file>

<file path=xl/worksheets/_rels/sheet8.xml.rels>&#65279;<?xml version="1.0" encoding="utf-8"?><Relationships xmlns="http://schemas.openxmlformats.org/package/2006/relationships"><Relationship Type="http://schemas.openxmlformats.org/officeDocument/2006/relationships/table" Target="/xl/tables/table5.xml" Id="R197722174b524623" /></Relationships>
</file>

<file path=xl/worksheets/_rels/sheet9.xml.rels>&#65279;<?xml version="1.0" encoding="utf-8"?><Relationships xmlns="http://schemas.openxmlformats.org/package/2006/relationships"><Relationship Type="http://schemas.openxmlformats.org/officeDocument/2006/relationships/table" Target="/xl/tables/table6.xml" Id="R3226c214df2d4c82" /></Relationships>
</file>

<file path=xl/worksheets/_rels/sheet10.xml.rels>&#65279;<?xml version="1.0" encoding="utf-8"?><Relationships xmlns="http://schemas.openxmlformats.org/package/2006/relationships"><Relationship Type="http://schemas.openxmlformats.org/officeDocument/2006/relationships/table" Target="/xl/tables/table7.xml" Id="R5560dd8c8b5e4e46" /></Relationships>
</file>

<file path=xl/worksheets/_rels/sheet11.xml.rels>&#65279;<?xml version="1.0" encoding="utf-8"?><Relationships xmlns="http://schemas.openxmlformats.org/package/2006/relationships"><Relationship Type="http://schemas.openxmlformats.org/officeDocument/2006/relationships/table" Target="/xl/tables/table8.xml" Id="R41196a8cd5a04b54" /></Relationships>
</file>

<file path=xl/worksheets/_rels/sheet12.xml.rels>&#65279;<?xml version="1.0" encoding="utf-8"?><Relationships xmlns="http://schemas.openxmlformats.org/package/2006/relationships"><Relationship Type="http://schemas.openxmlformats.org/officeDocument/2006/relationships/table" Target="/xl/tables/table9.xml" Id="Rede15c0a86b34631" /></Relationships>
</file>

<file path=xl/worksheets/_rels/sheet13.xml.rels>&#65279;<?xml version="1.0" encoding="utf-8"?><Relationships xmlns="http://schemas.openxmlformats.org/package/2006/relationships"><Relationship Type="http://schemas.openxmlformats.org/officeDocument/2006/relationships/table" Target="/xl/tables/table10.xml" Id="R59ac69e9cd78479d" /></Relationships>
</file>

<file path=xl/worksheets/_rels/sheet14.xml.rels>&#65279;<?xml version="1.0" encoding="utf-8"?><Relationships xmlns="http://schemas.openxmlformats.org/package/2006/relationships"><Relationship Type="http://schemas.openxmlformats.org/officeDocument/2006/relationships/table" Target="/xl/tables/table11.xml" Id="Rbe6016642cf24b8b" /></Relationships>
</file>

<file path=xl/worksheets/_rels/sheet15.xml.rels>&#65279;<?xml version="1.0" encoding="utf-8"?><Relationships xmlns="http://schemas.openxmlformats.org/package/2006/relationships"><Relationship Type="http://schemas.openxmlformats.org/officeDocument/2006/relationships/table" Target="/xl/tables/table12.xml" Id="R5d365ed4f0924c48" /></Relationships>
</file>

<file path=xl/worksheets/_rels/sheet16.xml.rels>&#65279;<?xml version="1.0" encoding="utf-8"?><Relationships xmlns="http://schemas.openxmlformats.org/package/2006/relationships"><Relationship Type="http://schemas.openxmlformats.org/officeDocument/2006/relationships/table" Target="/xl/tables/table13.xml" Id="Ra00413a64b7b48e4" /></Relationships>
</file>

<file path=xl/worksheets/_rels/sheet17.xml.rels>&#65279;<?xml version="1.0" encoding="utf-8"?><Relationships xmlns="http://schemas.openxmlformats.org/package/2006/relationships"><Relationship Type="http://schemas.openxmlformats.org/officeDocument/2006/relationships/table" Target="/xl/tables/table14.xml" Id="Rf213e47951f742e9" /></Relationships>
</file>

<file path=xl/worksheets/_rels/sheet18.xml.rels>&#65279;<?xml version="1.0" encoding="utf-8"?><Relationships xmlns="http://schemas.openxmlformats.org/package/2006/relationships"><Relationship Type="http://schemas.openxmlformats.org/officeDocument/2006/relationships/table" Target="/xl/tables/table15.xml" Id="R2e3f8ffd8ef047cf" /></Relationships>
</file>

<file path=xl/worksheets/_rels/sheet19.xml.rels>&#65279;<?xml version="1.0" encoding="utf-8"?><Relationships xmlns="http://schemas.openxmlformats.org/package/2006/relationships"><Relationship Type="http://schemas.openxmlformats.org/officeDocument/2006/relationships/table" Target="/xl/tables/table16.xml" Id="R97bdd742431e421e" /></Relationships>
</file>

<file path=xl/worksheets/_rels/sheet20.xml.rels>&#65279;<?xml version="1.0" encoding="utf-8"?><Relationships xmlns="http://schemas.openxmlformats.org/package/2006/relationships"><Relationship Type="http://schemas.openxmlformats.org/officeDocument/2006/relationships/table" Target="/xl/tables/table17.xml" Id="R02f5b23d213e4c4b" /></Relationships>
</file>

<file path=xl/worksheets/_rels/sheet22.xml.rels>&#65279;<?xml version="1.0" encoding="utf-8"?><Relationships xmlns="http://schemas.openxmlformats.org/package/2006/relationships"><Relationship Type="http://schemas.openxmlformats.org/officeDocument/2006/relationships/table" Target="/xl/tables/table18.xml" Id="R2aa41e9820ab4c78"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8" hidden="0" customWidth="1"/>
    <x:col min="4" max="4" width="12" hidden="0" customWidth="1"/>
    <x:col min="5" max="5" width="18" hidden="0" customWidth="1"/>
    <x:col min="6" max="6" width="12" hidden="0" customWidth="1"/>
    <x:col min="7" max="7" width="18" hidden="0" customWidth="1"/>
    <x:col min="8" max="8" width="12" hidden="0" customWidth="1"/>
    <x:col min="9" max="9" width="18" hidden="0" customWidth="1"/>
    <x:col min="10" max="10" width="12" hidden="0" customWidth="1"/>
    <x:col min="11" max="11" width="19" hidden="0" customWidth="1"/>
    <x:col min="12" max="12" width="12" hidden="0" customWidth="1"/>
  </x:cols>
  <x:sheetData>
    <x:row r="1" ht="32" customHeight="1">
      <x:c r="A1" s="3" t="str">
        <x:v>重庆主城智能体内容与意图数据库｜V0.6</x:v>
      </x:c>
      <x:c r="B1" s="3"/>
      <x:c r="C1" s="3"/>
      <x:c r="D1" s="3"/>
      <x:c r="E1" s="3"/>
      <x:c r="F1" s="3"/>
      <x:c r="G1" s="3"/>
      <x:c r="H1" s="3"/>
      <x:c r="I1" s="3"/>
      <x:c r="J1" s="3"/>
      <x:c r="K1" s="3"/>
      <x:c r="L1" s="3"/>
    </x:row>
    <x:row r="2" ht="30" customHeight="1">
      <x:c r="A2" s="7" t="str">
        <x:v>进入执行准备：在商业闸门基础上增加供应商中英文联系工作台、前5项路线的10次实走记录，以及会自动写回供应商准入状态的英语口试。</x:v>
      </x:c>
      <x:c r="B2" s="7"/>
      <x:c r="C2" s="7"/>
      <x:c r="D2" s="7"/>
      <x:c r="E2" s="7"/>
      <x:c r="F2" s="7"/>
      <x:c r="G2" s="7"/>
      <x:c r="H2" s="7"/>
      <x:c r="I2" s="7"/>
      <x:c r="J2" s="7"/>
      <x:c r="K2" s="7"/>
      <x:c r="L2" s="7"/>
    </x:row>
    <x:row r="4" ht="29" customHeight="1">
      <x:c r="A4" s="124" t="str">
        <x:v>点位条目</x:v>
      </x:c>
      <x:c r="B4" s="125"/>
      <x:c r="C4" s="124" t="str">
        <x:v>路线模块</x:v>
      </x:c>
      <x:c r="D4" s="125"/>
      <x:c r="E4" s="124" t="str">
        <x:v>对话信号</x:v>
      </x:c>
      <x:c r="F4" s="125"/>
      <x:c r="G4" s="124" t="str">
        <x:v>追问规则</x:v>
      </x:c>
      <x:c r="H4" s="125"/>
      <x:c r="I4" s="124" t="str">
        <x:v>测试用例</x:v>
      </x:c>
      <x:c r="J4" s="125"/>
      <x:c r="K4" s="124" t="str">
        <x:v>当前输出画像</x:v>
      </x:c>
      <x:c r="L4" s="125"/>
    </x:row>
    <x:row r="5" ht="29" customHeight="1">
      <x:c r="A5" s="128" t="n">
        <x:f>COUNTA('点位内容库'!A6:A60)</x:f>
        <x:v>40</x:v>
      </x:c>
      <x:c r="B5" s="129"/>
      <x:c r="C5" s="128" t="n">
        <x:f>COUNTA('路线模块库'!A6:A60)</x:f>
        <x:v>24</x:v>
      </x:c>
      <x:c r="D5" s="129"/>
      <x:c r="E5" s="128" t="n">
        <x:f>COUNTA('对话信号库'!A6:A60)</x:f>
        <x:v>30</x:v>
      </x:c>
      <x:c r="F5" s="129"/>
      <x:c r="G5" s="128" t="n">
        <x:f>COUNTA('追问规则'!A6:A40)</x:f>
        <x:v>15</x:v>
      </x:c>
      <x:c r="H5" s="129"/>
      <x:c r="I5" s="128" t="n">
        <x:f>COUNTA('对话测试集'!A6:A30)</x:f>
        <x:v>6</x:v>
      </x:c>
      <x:c r="J5" s="129"/>
      <x:c r="K5" s="132" t="str">
        <x:f>'游客输出器'!B5</x:f>
        <x:v>首次经典</x:v>
      </x:c>
      <x:c r="L5" s="133"/>
    </x:row>
    <x:row r="7">
      <x:c r="A7" s="134" t="str">
        <x:v>四层闭环：智能体理解客户，数据库负责决策，路书负责表达，人工负责履约</x:v>
      </x:c>
      <x:c r="B7" s="134"/>
      <x:c r="C7" s="134"/>
      <x:c r="D7" s="134"/>
      <x:c r="E7" s="134"/>
      <x:c r="F7" s="134"/>
      <x:c r="G7" s="134"/>
      <x:c r="H7" s="134"/>
      <x:c r="I7" s="134"/>
      <x:c r="J7" s="134"/>
      <x:c r="K7" s="134"/>
      <x:c r="L7" s="134"/>
    </x:row>
    <x:row r="8" ht="43" customHeight="1">
      <x:c r="A8" s="136" t="str">
        <x:v>01</x:v>
      </x:c>
      <x:c r="B8" s="136" t="str">
        <x:v>对话理解层</x:v>
      </x:c>
      <x:c r="C8" s="155" t="str">
        <x:v>保存客户原话，分开显性事实、潜意图、硬约束、未知项和状态变化；低置信推断只用于追问。</x:v>
      </x:c>
      <x:c r="D8" s="156"/>
      <x:c r="E8" s="156"/>
      <x:c r="F8" s="156"/>
      <x:c r="G8" s="156"/>
      <x:c r="H8" s="156"/>
      <x:c r="I8" s="156"/>
      <x:c r="J8" s="156"/>
      <x:c r="K8" s="156"/>
      <x:c r="L8" s="157"/>
    </x:row>
    <x:row r="9" ht="43" customHeight="1">
      <x:c r="A9" s="136" t="str">
        <x:v>02</x:v>
      </x:c>
      <x:c r="B9" s="136" t="str">
        <x:v>内容决策层</x:v>
      </x:c>
      <x:c r="C9" s="158" t="str">
        <x:v>用点位、路线模块、八个意图维度和硬条件完成过滤、排序、去重与替换。</x:v>
      </x:c>
      <x:c r="D9" s="159"/>
      <x:c r="E9" s="159"/>
      <x:c r="F9" s="159"/>
      <x:c r="G9" s="159"/>
      <x:c r="H9" s="159"/>
      <x:c r="I9" s="159"/>
      <x:c r="J9" s="159"/>
      <x:c r="K9" s="159"/>
      <x:c r="L9" s="160"/>
    </x:row>
    <x:row r="10" ht="43" customHeight="1">
      <x:c r="A10" s="136" t="str">
        <x:v>03</x:v>
      </x:c>
      <x:c r="B10" s="136" t="str">
        <x:v>路书表达层</x:v>
      </x:c>
      <x:c r="C10" s="158" t="str">
        <x:v>每天只输出2—4个模块，并说明为什么适合这位客户；不暴露内部画像和分数。</x:v>
      </x:c>
      <x:c r="D10" s="159"/>
      <x:c r="E10" s="159"/>
      <x:c r="F10" s="159"/>
      <x:c r="G10" s="159"/>
      <x:c r="H10" s="159"/>
      <x:c r="I10" s="159"/>
      <x:c r="J10" s="159"/>
      <x:c r="K10" s="159"/>
      <x:c r="L10" s="160"/>
    </x:row>
    <x:row r="11" ht="43" customHeight="1">
      <x:c r="A11" s="136" t="str">
        <x:v>04</x:v>
      </x:c>
      <x:c r="B11" s="136" t="str">
        <x:v>人工履约层</x:v>
      </x:c>
      <x:c r="C11" s="161" t="str">
        <x:v>动态开放、供应商、价格、拍摄、取消和安全由人工复核后才成为可出售承诺。</x:v>
      </x:c>
      <x:c r="D11" s="162"/>
      <x:c r="E11" s="162"/>
      <x:c r="F11" s="162"/>
      <x:c r="G11" s="162"/>
      <x:c r="H11" s="162"/>
      <x:c r="I11" s="162"/>
      <x:c r="J11" s="162"/>
      <x:c r="K11" s="162"/>
      <x:c r="L11" s="163"/>
    </x:row>
    <x:row r="13">
      <x:c r="A13" s="82" t="str">
        <x:v>智能体输出的硬性规则</x:v>
      </x:c>
      <x:c r="B13" s="82"/>
      <x:c r="C13" s="82"/>
      <x:c r="D13" s="82"/>
      <x:c r="E13" s="82"/>
      <x:c r="F13" s="82"/>
      <x:c r="G13" s="82"/>
      <x:c r="H13" s="82"/>
      <x:c r="I13" s="82"/>
      <x:c r="J13" s="82"/>
      <x:c r="K13" s="82"/>
      <x:c r="L13" s="82"/>
    </x:row>
    <x:row r="14" ht="40" customHeight="1">
      <x:c r="A14" s="47" t="str">
        <x:v>1</x:v>
      </x:c>
      <x:c r="B14" s="47" t="str">
        <x:v>事实、推断、未知分开</x:v>
      </x:c>
      <x:c r="C14" s="182" t="str">
        <x:v>客户直接说出的内容、智能体推断的需要和仍未知的信息不得混写。</x:v>
      </x:c>
      <x:c r="D14" s="183"/>
      <x:c r="E14" s="183"/>
      <x:c r="F14" s="183"/>
      <x:c r="G14" s="183"/>
      <x:c r="H14" s="183"/>
      <x:c r="I14" s="183"/>
      <x:c r="J14" s="183"/>
      <x:c r="K14" s="183"/>
      <x:c r="L14" s="184"/>
    </x:row>
    <x:row r="15" ht="40" customHeight="1">
      <x:c r="A15" s="47" t="str">
        <x:v>2</x:v>
      </x:c>
      <x:c r="B15" s="47" t="str">
        <x:v>潜意图必须带证据</x:v>
      </x:c>
      <x:c r="C15" s="185" t="str">
        <x:v>每个潜意图必须有客户原话、推断理由和置信度；低于50%不能参与排序。</x:v>
      </x:c>
      <x:c r="D15" s="186"/>
      <x:c r="E15" s="186"/>
      <x:c r="F15" s="186"/>
      <x:c r="G15" s="186"/>
      <x:c r="H15" s="186"/>
      <x:c r="I15" s="186"/>
      <x:c r="J15" s="186"/>
      <x:c r="K15" s="186"/>
      <x:c r="L15" s="187"/>
    </x:row>
    <x:row r="16" ht="40" customHeight="1">
      <x:c r="A16" s="47" t="str">
        <x:v>3</x:v>
      </x:c>
      <x:c r="B16" s="47" t="str">
        <x:v>安全与收费必须确认</x:v>
      </x:c>
      <x:c r="C16" s="185" t="str">
        <x:v>体力、过敏、商业拍摄、私人空间和付费履约必须追问，不能靠推测。</x:v>
      </x:c>
      <x:c r="D16" s="186"/>
      <x:c r="E16" s="186"/>
      <x:c r="F16" s="186"/>
      <x:c r="G16" s="186"/>
      <x:c r="H16" s="186"/>
      <x:c r="I16" s="186"/>
      <x:c r="J16" s="186"/>
      <x:c r="K16" s="186"/>
      <x:c r="L16" s="187"/>
    </x:row>
    <x:row r="17" ht="40" customHeight="1">
      <x:c r="A17" s="47" t="str">
        <x:v>4</x:v>
      </x:c>
      <x:c r="B17" s="47" t="str">
        <x:v>一天只有一个主叙事</x:v>
      </x:c>
      <x:c r="C17" s="185" t="str">
        <x:v>标题、节点和解释服务同一个问题，不做城市百科全书。</x:v>
      </x:c>
      <x:c r="D17" s="186"/>
      <x:c r="E17" s="186"/>
      <x:c r="F17" s="186"/>
      <x:c r="G17" s="186"/>
      <x:c r="H17" s="186"/>
      <x:c r="I17" s="186"/>
      <x:c r="J17" s="186"/>
      <x:c r="K17" s="186"/>
      <x:c r="L17" s="187"/>
    </x:row>
    <x:row r="18" ht="40" customHeight="1">
      <x:c r="A18" s="47" t="str">
        <x:v>5</x:v>
      </x:c>
      <x:c r="B18" s="47" t="str">
        <x:v>一天只给2—4个模块</x:v>
      </x:c>
      <x:c r="C18" s="185" t="str">
        <x:v>精简2个、标准3个、深度4个；信息更多不等于价值更高。</x:v>
      </x:c>
      <x:c r="D18" s="186"/>
      <x:c r="E18" s="186"/>
      <x:c r="F18" s="186"/>
      <x:c r="G18" s="186"/>
      <x:c r="H18" s="186"/>
      <x:c r="I18" s="186"/>
      <x:c r="J18" s="186"/>
      <x:c r="K18" s="186"/>
      <x:c r="L18" s="187"/>
    </x:row>
    <x:row r="19" ht="40" customHeight="1">
      <x:c r="A19" s="47" t="str">
        <x:v>6</x:v>
      </x:c>
      <x:c r="B19" s="47" t="str">
        <x:v>相似内容必须去重</x:v>
      </x:c>
      <x:c r="C19" s="188" t="str">
        <x:v>洪崖洞、游船、索道和观景台不全给；相似老街与场馆按客户目标选择。</x:v>
      </x:c>
      <x:c r="D19" s="189"/>
      <x:c r="E19" s="189"/>
      <x:c r="F19" s="189"/>
      <x:c r="G19" s="189"/>
      <x:c r="H19" s="189"/>
      <x:c r="I19" s="189"/>
      <x:c r="J19" s="189"/>
      <x:c r="K19" s="189"/>
      <x:c r="L19" s="190"/>
    </x:row>
    <x:row r="21">
      <x:c r="A21" s="134" t="str">
        <x:v>独立站智能体工作流</x:v>
      </x:c>
      <x:c r="B21" s="134"/>
      <x:c r="C21" s="134"/>
      <x:c r="D21" s="134"/>
      <x:c r="E21" s="134"/>
      <x:c r="F21" s="134"/>
      <x:c r="G21" s="134"/>
      <x:c r="H21" s="134"/>
      <x:c r="I21" s="134"/>
      <x:c r="J21" s="134"/>
      <x:c r="K21" s="134"/>
      <x:c r="L21" s="134"/>
    </x:row>
    <x:row r="22" ht="38" customHeight="1">
      <x:c r="A22" s="98" t="str">
        <x:v>1 保存原话与显性事实</x:v>
      </x:c>
      <x:c r="B22" s="98"/>
      <x:c r="C22" s="210" t="str">
        <x:v>先听客户说什么，不急着生成路线</x:v>
      </x:c>
      <x:c r="D22" s="211"/>
      <x:c r="E22" s="211"/>
      <x:c r="F22" s="211"/>
      <x:c r="G22" s="211"/>
      <x:c r="H22" s="211"/>
      <x:c r="I22" s="211"/>
      <x:c r="J22" s="211"/>
      <x:c r="K22" s="211"/>
      <x:c r="L22" s="212"/>
    </x:row>
    <x:row r="23" ht="38" customHeight="1">
      <x:c r="A23" s="98" t="str">
        <x:v>2 形成有证据的潜意图</x:v>
      </x:c>
      <x:c r="B23" s="98"/>
      <x:c r="C23" s="213" t="str">
        <x:v>记录置信度、允许影响和禁止越界</x:v>
      </x:c>
      <x:c r="D23" s="214"/>
      <x:c r="E23" s="214"/>
      <x:c r="F23" s="214"/>
      <x:c r="G23" s="214"/>
      <x:c r="H23" s="214"/>
      <x:c r="I23" s="214"/>
      <x:c r="J23" s="214"/>
      <x:c r="K23" s="214"/>
      <x:c r="L23" s="215"/>
    </x:row>
    <x:row r="24" ht="38" customHeight="1">
      <x:c r="A24" s="98" t="str">
        <x:v>3 每轮追问1—2个高价值问题</x:v>
      </x:c>
      <x:c r="B24" s="98"/>
      <x:c r="C24" s="213" t="str">
        <x:v>优先消除会改变安全、路线和收费的不确定性</x:v>
      </x:c>
      <x:c r="D24" s="214"/>
      <x:c r="E24" s="214"/>
      <x:c r="F24" s="214"/>
      <x:c r="G24" s="214"/>
      <x:c r="H24" s="214"/>
      <x:c r="I24" s="214"/>
      <x:c r="J24" s="214"/>
      <x:c r="K24" s="214"/>
      <x:c r="L24" s="215"/>
    </x:row>
    <x:row r="25" ht="38" customHeight="1">
      <x:c r="A25" s="98" t="str">
        <x:v>4 检索、过滤、排序和去重</x:v>
      </x:c>
      <x:c r="B25" s="98"/>
      <x:c r="C25" s="213" t="str">
        <x:v>用对话状态驱动路线模块，而不是直接让大模型自由发挥</x:v>
      </x:c>
      <x:c r="D25" s="214"/>
      <x:c r="E25" s="214"/>
      <x:c r="F25" s="214"/>
      <x:c r="G25" s="214"/>
      <x:c r="H25" s="214"/>
      <x:c r="I25" s="214"/>
      <x:c r="J25" s="214"/>
      <x:c r="K25" s="214"/>
      <x:c r="L25" s="215"/>
    </x:row>
    <x:row r="26" ht="38" customHeight="1">
      <x:c r="A26" s="98" t="str">
        <x:v>5 输出路书并进入商业承接</x:v>
      </x:c>
      <x:c r="B26" s="98"/>
      <x:c r="C26" s="216" t="str">
        <x:v>免费灵感、付费路书、人工校验和预约服务分层交付</x:v>
      </x:c>
      <x:c r="D26" s="217"/>
      <x:c r="E26" s="217"/>
      <x:c r="F26" s="217"/>
      <x:c r="G26" s="217"/>
      <x:c r="H26" s="217"/>
      <x:c r="I26" s="217"/>
      <x:c r="J26" s="217"/>
      <x:c r="K26" s="217"/>
      <x:c r="L26" s="218"/>
    </x:row>
    <x:row r="28">
      <x:c r="A28" s="82" t="str">
        <x:v>重庆首发商业化闸门</x:v>
      </x:c>
      <x:c r="B28" s="82"/>
      <x:c r="C28" s="82"/>
      <x:c r="D28" s="82"/>
      <x:c r="E28" s="82"/>
      <x:c r="F28" s="82"/>
      <x:c r="G28" s="82"/>
      <x:c r="H28" s="82"/>
      <x:c r="I28" s="82"/>
      <x:c r="J28" s="82"/>
      <x:c r="K28" s="82"/>
      <x:c r="L28" s="82"/>
    </x:row>
    <x:row r="29" ht="33" customHeight="1">
      <x:c r="A29" s="220" t="str">
        <x:v>首发核验任务</x:v>
      </x:c>
      <x:c r="B29" s="220"/>
      <x:c r="C29" s="220" t="str">
        <x:v>已经通过</x:v>
      </x:c>
      <x:c r="D29" s="220"/>
      <x:c r="E29" s="220" t="str">
        <x:v>体验候选</x:v>
      </x:c>
      <x:c r="F29" s="220"/>
      <x:c r="G29" s="220" t="str">
        <x:v>可售体验</x:v>
      </x:c>
      <x:c r="H29" s="220"/>
      <x:c r="I29" s="220" t="str">
        <x:v>已启动联系</x:v>
      </x:c>
      <x:c r="J29" s="220"/>
      <x:c r="K29" s="220" t="str">
        <x:v>当前状态</x:v>
      </x:c>
      <x:c r="L29" s="220"/>
    </x:row>
    <x:row r="30" ht="33" customHeight="1">
      <x:c r="A30" s="222" t="n">
        <x:f>COUNTA('首发核验'!$A$6:$A$15)</x:f>
        <x:v>10</x:v>
      </x:c>
      <x:c r="B30" s="222"/>
      <x:c r="C30" s="222" t="n">
        <x:f>COUNTIF('首发核验'!$J$6:$J$15,"通过")</x:f>
        <x:v>0</x:v>
      </x:c>
      <x:c r="D30" s="222"/>
      <x:c r="E30" s="222" t="n">
        <x:f>COUNTA('体验产品'!$A$6:$A$8)</x:f>
        <x:v>3</x:v>
      </x:c>
      <x:c r="F30" s="222"/>
      <x:c r="G30" s="222" t="n">
        <x:f>COUNTIF('体验产品'!$O$6:$O$8,"可销售")</x:f>
        <x:v>0</x:v>
      </x:c>
      <x:c r="H30" s="222"/>
      <x:c r="I30" s="222" t="n">
        <x:f>COUNTIF('供应商档案'!$D$6:$D$8,"已联系")+COUNTIF('供应商档案'!$D$6:$D$8,"洽谈中")+COUNTIF('供应商档案'!$D$6:$D$8,"签约")</x:f>
        <x:v>0</x:v>
      </x:c>
      <x:c r="J30" s="222"/>
      <x:c r="K30" s="224" t="str">
        <x:f>IF(AND(C30=10,G30&gt;=1),"可付费内测",IF(OR(C30&gt;0,I30&gt;0),"核验与洽谈中","尚不可售"))</x:f>
        <x:v>尚不可售</x:v>
      </x:c>
      <x:c r="L30" s="224"/>
    </x:row>
    <x:row r="32" ht="34" customHeight="1">
      <x:c r="A32" s="228" t="str">
        <x:v>规则：三个体验在首发核验全部通过、对应供应商七项门槛全部通过前，只能显示为“仅候选”，不得报价、收款或承诺可预约。</x:v>
      </x:c>
      <x:c r="B32" s="228"/>
      <x:c r="C32" s="228"/>
      <x:c r="D32" s="228"/>
      <x:c r="E32" s="228"/>
      <x:c r="F32" s="228"/>
      <x:c r="G32" s="228"/>
      <x:c r="H32" s="228"/>
      <x:c r="I32" s="228"/>
      <x:c r="J32" s="228"/>
      <x:c r="K32" s="228"/>
      <x:c r="L32" s="228"/>
    </x:row>
  </x:sheetData>
  <x:mergeCells>
    <x:mergeCell ref="A1:L1"/>
    <x:mergeCell ref="A2:L2"/>
    <x:mergeCell ref="A7:L7"/>
    <x:mergeCell ref="C8:L8"/>
    <x:mergeCell ref="C9:L9"/>
    <x:mergeCell ref="C10:L10"/>
    <x:mergeCell ref="C11:L11"/>
    <x:mergeCell ref="A13:L13"/>
    <x:mergeCell ref="C14:L14"/>
    <x:mergeCell ref="C15:L15"/>
    <x:mergeCell ref="C16:L16"/>
    <x:mergeCell ref="C17:L17"/>
    <x:mergeCell ref="C18:L18"/>
    <x:mergeCell ref="C19:L19"/>
    <x:mergeCell ref="A21:L21"/>
    <x:mergeCell ref="A22:B22"/>
    <x:mergeCell ref="C22:L22"/>
    <x:mergeCell ref="A23:B23"/>
    <x:mergeCell ref="C23:L23"/>
    <x:mergeCell ref="A24:B24"/>
    <x:mergeCell ref="C24:L24"/>
    <x:mergeCell ref="A25:B25"/>
    <x:mergeCell ref="C25:L25"/>
    <x:mergeCell ref="A26:B26"/>
    <x:mergeCell ref="C26:L26"/>
    <x:mergeCell ref="A28:L28"/>
    <x:mergeCell ref="A29:B29"/>
    <x:mergeCell ref="C29:D29"/>
    <x:mergeCell ref="E29:F29"/>
    <x:mergeCell ref="G29:H29"/>
    <x:mergeCell ref="I29:J29"/>
    <x:mergeCell ref="K29:L29"/>
    <x:mergeCell ref="A30:B30"/>
    <x:mergeCell ref="C30:D30"/>
    <x:mergeCell ref="E30:F30"/>
    <x:mergeCell ref="G30:H30"/>
    <x:mergeCell ref="I30:J30"/>
    <x:mergeCell ref="K30:L30"/>
    <x:mergeCell ref="A32:L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3" hidden="0" customWidth="1"/>
    <x:col min="5" max="5" width="35" hidden="0" customWidth="1"/>
    <x:col min="6" max="6" width="14" hidden="0" customWidth="1"/>
    <x:col min="7" max="7" width="37" hidden="0" customWidth="1"/>
    <x:col min="8" max="8" width="24" hidden="0" customWidth="1"/>
    <x:col min="9" max="9" width="30" hidden="0" customWidth="1"/>
  </x:cols>
  <x:sheetData>
    <x:row r="1" ht="32" customHeight="1">
      <x:c r="A1" s="3" t="str">
        <x:v>智能体会话输入｜把对话转成可审计的旅行者状态</x:v>
      </x:c>
      <x:c r="B1" s="3"/>
      <x:c r="C1" s="3"/>
      <x:c r="D1" s="3"/>
      <x:c r="E1" s="3"/>
      <x:c r="F1" s="3"/>
      <x:c r="G1" s="3"/>
      <x:c r="H1" s="3"/>
      <x:c r="I1" s="3"/>
    </x:row>
    <x:row r="2" ht="30" customHeight="1">
      <x:c r="A2" s="7" t="str">
        <x:v>蓝色格由独立站智能体写入。示例展示“客户说清楚的”和“尚未说清楚的潜意图”如何共同影响路线；低置信推断只用于追问。</x:v>
      </x:c>
      <x:c r="B2" s="7"/>
      <x:c r="C2" s="7"/>
      <x:c r="D2" s="7"/>
      <x:c r="E2" s="7"/>
      <x:c r="F2" s="7"/>
      <x:c r="G2" s="7"/>
      <x:c r="H2" s="7"/>
      <x:c r="I2" s="7"/>
    </x:row>
    <x:row r="4">
      <x:c r="A4" s="29" t="str">
        <x:v>示例客户原话</x:v>
      </x:c>
      <x:c r="B4" s="29"/>
      <x:c r="C4" s="29"/>
      <x:c r="D4" s="29"/>
      <x:c r="E4" s="29"/>
      <x:c r="F4" s="29"/>
      <x:c r="G4" s="29"/>
      <x:c r="H4" s="29"/>
      <x:c r="I4" s="29"/>
    </x:row>
    <x:row r="5">
      <x:c r="A5" s="32" t="str">
        <x:v>第一次来重庆，只有三天，和妈妈一起。我们不想走得太累，但想拍到很特别的城市感，也不想全是网红打卡。酒店还没订。</x:v>
      </x:c>
      <x:c r="B5" s="32"/>
      <x:c r="C5" s="32"/>
      <x:c r="D5" s="32"/>
      <x:c r="E5" s="32"/>
      <x:c r="F5" s="32"/>
      <x:c r="G5" s="32"/>
      <x:c r="H5" s="32"/>
      <x:c r="I5" s="32"/>
    </x:row>
    <x:row r="6">
      <x:c r="A6" s="32"/>
      <x:c r="B6" s="32"/>
      <x:c r="C6" s="32"/>
      <x:c r="D6" s="32"/>
      <x:c r="E6" s="32"/>
      <x:c r="F6" s="32"/>
      <x:c r="G6" s="32"/>
      <x:c r="H6" s="32"/>
      <x:c r="I6" s="32"/>
    </x:row>
    <x:row r="7">
      <x:c r="A7" s="32"/>
      <x:c r="B7" s="32"/>
      <x:c r="C7" s="32"/>
      <x:c r="D7" s="32"/>
      <x:c r="E7" s="32"/>
      <x:c r="F7" s="32"/>
      <x:c r="G7" s="32"/>
      <x:c r="H7" s="32"/>
      <x:c r="I7" s="32"/>
    </x:row>
    <x:row r="9">
      <x:c r="A9" s="10" t="str">
        <x:v>字段</x:v>
      </x:c>
      <x:c r="B9" s="10" t="str">
        <x:v>当前值</x:v>
      </x:c>
      <x:c r="C9" s="10" t="str">
        <x:v>来源</x:v>
      </x:c>
      <x:c r="D9" s="10" t="str">
        <x:v>置信度</x:v>
      </x:c>
      <x:c r="E9" s="10" t="str">
        <x:v>客户原话证据</x:v>
      </x:c>
      <x:c r="F9" s="10" t="str">
        <x:v>是否需确认</x:v>
      </x:c>
      <x:c r="G9" s="10" t="str">
        <x:v>下一个问题</x:v>
      </x:c>
      <x:c r="H9" s="10" t="str">
        <x:v>允许影响</x:v>
      </x:c>
      <x:c r="I9" s="10" t="str">
        <x:v>内部备注</x:v>
      </x:c>
    </x:row>
    <x:row r="10" ht="48" customHeight="1">
      <x:c r="A10" s="19" t="str">
        <x:v>会话阶段</x:v>
      </x:c>
      <x:c r="B10" s="33" t="str">
        <x:v>路线规划</x:v>
      </x:c>
      <x:c r="C10" s="36" t="str">
        <x:v>显性</x:v>
      </x:c>
      <x:c r="D10" s="25" t="n">
        <x:v>1</x:v>
      </x:c>
      <x:c r="E10" s="19" t="str">
        <x:v>提出三天重庆行程</x:v>
      </x:c>
      <x:c r="F10" s="19" t="str">
        <x:v>否</x:v>
      </x:c>
      <x:c r="G10" s="19" t="str"/>
      <x:c r="H10" s="19" t="str">
        <x:v>决定进入逐日规划</x:v>
      </x:c>
      <x:c r="I10" s="19" t="str">
        <x:v>不是询价阶段</x:v>
      </x:c>
    </x:row>
    <x:row r="11" ht="48" customHeight="1">
      <x:c r="A11" s="20" t="str">
        <x:v>目的地</x:v>
      </x:c>
      <x:c r="B11" s="34" t="str">
        <x:v>重庆主城</x:v>
      </x:c>
      <x:c r="C11" s="37" t="str">
        <x:v>显性</x:v>
      </x:c>
      <x:c r="D11" s="26" t="n">
        <x:v>1</x:v>
      </x:c>
      <x:c r="E11" s="20" t="str">
        <x:v>第一次来重庆</x:v>
      </x:c>
      <x:c r="F11" s="20" t="str">
        <x:v>否</x:v>
      </x:c>
      <x:c r="G11" s="20" t="str"/>
      <x:c r="H11" s="20" t="str">
        <x:v>限定城市数据库</x:v>
      </x:c>
      <x:c r="I11" s="20" t="str"/>
    </x:row>
    <x:row r="12" ht="48" customHeight="1">
      <x:c r="A12" s="20" t="str">
        <x:v>行程天数</x:v>
      </x:c>
      <x:c r="B12" s="34" t="n">
        <x:v>3</x:v>
      </x:c>
      <x:c r="C12" s="37" t="str">
        <x:v>显性</x:v>
      </x:c>
      <x:c r="D12" s="26" t="n">
        <x:v>1</x:v>
      </x:c>
      <x:c r="E12" s="20" t="str">
        <x:v>只有三天</x:v>
      </x:c>
      <x:c r="F12" s="20" t="str">
        <x:v>否</x:v>
      </x:c>
      <x:c r="G12" s="20" t="str"/>
      <x:c r="H12" s="20" t="str">
        <x:v>控制D1—D3</x:v>
      </x:c>
      <x:c r="I12" s="20" t="str">
        <x:v>按有效整天计算</x:v>
      </x:c>
    </x:row>
    <x:row r="13" ht="48" customHeight="1">
      <x:c r="A13" s="20" t="str">
        <x:v>客群</x:v>
      </x:c>
      <x:c r="B13" s="34" t="str">
        <x:v>首次经典</x:v>
      </x:c>
      <x:c r="C13" s="37" t="str">
        <x:v>组合判断</x:v>
      </x:c>
      <x:c r="D13" s="26" t="n">
        <x:v>0.9</x:v>
      </x:c>
      <x:c r="E13" s="20" t="str">
        <x:v>第一次来＋想看特别城市感</x:v>
      </x:c>
      <x:c r="F13" s="20" t="str">
        <x:v>否</x:v>
      </x:c>
      <x:c r="G13" s="20" t="str"/>
      <x:c r="H13" s="20" t="str">
        <x:v>基础画像分</x:v>
      </x:c>
      <x:c r="I13" s="20" t="str">
        <x:v>不向客户展示画像名</x:v>
      </x:c>
    </x:row>
    <x:row r="14" ht="48" customHeight="1">
      <x:c r="A14" s="20" t="str">
        <x:v>同行人</x:v>
      </x:c>
      <x:c r="B14" s="34" t="str">
        <x:v>母女/母子两人</x:v>
      </x:c>
      <x:c r="C14" s="37" t="str">
        <x:v>显性</x:v>
      </x:c>
      <x:c r="D14" s="26" t="n">
        <x:v>1</x:v>
      </x:c>
      <x:c r="E14" s="20" t="str">
        <x:v>和妈妈一起</x:v>
      </x:c>
      <x:c r="F14" s="20" t="str">
        <x:v>是</x:v>
      </x:c>
      <x:c r="G14" s="20" t="str">
        <x:v>妈妈每天能连续走多久？台阶是否有问题？</x:v>
      </x:c>
      <x:c r="H14" s="20" t="str">
        <x:v>触发体力确认</x:v>
      </x:c>
      <x:c r="I14" s="20" t="str">
        <x:v>不能自动判定妈妈低体力</x:v>
      </x:c>
    </x:row>
    <x:row r="15" ht="48" customHeight="1">
      <x:c r="A15" s="20" t="str">
        <x:v>体力</x:v>
      </x:c>
      <x:c r="B15" s="34" t="str">
        <x:v>低</x:v>
      </x:c>
      <x:c r="C15" s="37" t="str">
        <x:v>潜意图</x:v>
      </x:c>
      <x:c r="D15" s="26" t="n">
        <x:v>0.75</x:v>
      </x:c>
      <x:c r="E15" s="20" t="str">
        <x:v>不想走得太累＋与妈妈同行</x:v>
      </x:c>
      <x:c r="F15" s="20" t="str">
        <x:v>是</x:v>
      </x:c>
      <x:c r="G15" s="20" t="str">
        <x:v>连续步行和台阶可接受多少？</x:v>
      </x:c>
      <x:c r="H15" s="20" t="str">
        <x:v>体力修正</x:v>
      </x:c>
      <x:c r="I15" s="20" t="str">
        <x:v>确认前不作医学假设</x:v>
      </x:c>
    </x:row>
    <x:row r="16" ht="48" customHeight="1">
      <x:c r="A16" s="20" t="str">
        <x:v>天气</x:v>
      </x:c>
      <x:c r="B16" s="34" t="str">
        <x:v>正常</x:v>
      </x:c>
      <x:c r="C16" s="37" t="str">
        <x:v>默认</x:v>
      </x:c>
      <x:c r="D16" s="26" t="n">
        <x:v>0.3</x:v>
      </x:c>
      <x:c r="E16" s="20" t="str">
        <x:v>未提及</x:v>
      </x:c>
      <x:c r="F16" s="20" t="str">
        <x:v>是</x:v>
      </x:c>
      <x:c r="G16" s="20" t="str">
        <x:v>出行月份和大致日期是什么？</x:v>
      </x:c>
      <x:c r="H16" s="20" t="str">
        <x:v>天气修正</x:v>
      </x:c>
      <x:c r="I16" s="20" t="str">
        <x:v>低置信默认仅用于演示</x:v>
      </x:c>
    </x:row>
    <x:row r="17" ht="48" customHeight="1">
      <x:c r="A17" s="20" t="str">
        <x:v>第4天版本</x:v>
      </x:c>
      <x:c r="B17" s="34" t="str">
        <x:v>开埠徒步</x:v>
      </x:c>
      <x:c r="C17" s="37" t="str">
        <x:v>默认</x:v>
      </x:c>
      <x:c r="D17" s="26" t="n">
        <x:v>0.1</x:v>
      </x:c>
      <x:c r="E17" s="20" t="str">
        <x:v>只有三天，实际不生效</x:v>
      </x:c>
      <x:c r="F17" s="20" t="str">
        <x:v>否</x:v>
      </x:c>
      <x:c r="G17" s="20" t="str"/>
      <x:c r="H17" s="20" t="str">
        <x:v>D4修正</x:v>
      </x:c>
      <x:c r="I17" s="20" t="str"/>
    </x:row>
    <x:row r="18" ht="48" customHeight="1">
      <x:c r="A18" s="20" t="str">
        <x:v>输出长度</x:v>
      </x:c>
      <x:c r="B18" s="34" t="str">
        <x:v>标准</x:v>
      </x:c>
      <x:c r="C18" s="37" t="str">
        <x:v>系统默认</x:v>
      </x:c>
      <x:c r="D18" s="26" t="n">
        <x:v>1</x:v>
      </x:c>
      <x:c r="E18" s="20" t="str">
        <x:v>每个完整日3个模块</x:v>
      </x:c>
      <x:c r="F18" s="20" t="str"/>
      <x:c r="G18" s="20" t="str"/>
      <x:c r="H18" s="20" t="str">
        <x:v>信息预算</x:v>
      </x:c>
      <x:c r="I18" s="20" t="str"/>
    </x:row>
    <x:row r="19" ht="48" customHeight="1">
      <x:c r="A19" s="20" t="str">
        <x:v>抵离时间</x:v>
      </x:c>
      <x:c r="B19" s="34" t="str"/>
      <x:c r="C19" s="37" t="str">
        <x:v>未知</x:v>
      </x:c>
      <x:c r="D19" s="26" t="n">
        <x:v>0</x:v>
      </x:c>
      <x:c r="E19" s="20" t="str">
        <x:v>未提及</x:v>
      </x:c>
      <x:c r="F19" s="20" t="str">
        <x:v>是</x:v>
      </x:c>
      <x:c r="G19" s="20" t="str">
        <x:v>哪天几点能从酒店出发，最后一天几点离开？</x:v>
      </x:c>
      <x:c r="H19" s="20" t="str">
        <x:v>有效旅行时长</x:v>
      </x:c>
      <x:c r="I19" s="20" t="str">
        <x:v>发布前必问</x:v>
      </x:c>
    </x:row>
    <x:row r="20" ht="48" customHeight="1">
      <x:c r="A20" s="20" t="str">
        <x:v>酒店区域</x:v>
      </x:c>
      <x:c r="B20" s="34" t="str"/>
      <x:c r="C20" s="37" t="str">
        <x:v>未知</x:v>
      </x:c>
      <x:c r="D20" s="26" t="n">
        <x:v>0</x:v>
      </x:c>
      <x:c r="E20" s="20" t="str">
        <x:v>酒店还没订</x:v>
      </x:c>
      <x:c r="F20" s="20" t="str">
        <x:v>是</x:v>
      </x:c>
      <x:c r="G20" s="20" t="str">
        <x:v>更想住解放碑附近，还是愿意住在更安静的区域？</x:v>
      </x:c>
      <x:c r="H20" s="20" t="str">
        <x:v>转场与早晚安排</x:v>
      </x:c>
      <x:c r="I20" s="20" t="str"/>
    </x:row>
    <x:row r="21" ht="48" customHeight="1">
      <x:c r="A21" s="20" t="str">
        <x:v>必须包含</x:v>
      </x:c>
      <x:c r="B21" s="34" t="str">
        <x:v>立体城市感</x:v>
      </x:c>
      <x:c r="C21" s="37" t="str">
        <x:v>显性</x:v>
      </x:c>
      <x:c r="D21" s="26" t="n">
        <x:v>0.95</x:v>
      </x:c>
      <x:c r="E21" s="20" t="str">
        <x:v>想拍到很特别的城市感</x:v>
      </x:c>
      <x:c r="F21" s="20" t="str">
        <x:v>否</x:v>
      </x:c>
      <x:c r="G21" s="20" t="str"/>
      <x:c r="H21" s="20" t="str">
        <x:v>提高视觉模块</x:v>
      </x:c>
      <x:c r="I21" s="20" t="str"/>
    </x:row>
    <x:row r="22" ht="48" customHeight="1">
      <x:c r="A22" s="20" t="str">
        <x:v>明确排除</x:v>
      </x:c>
      <x:c r="B22" s="34" t="str">
        <x:v>全程网红打卡</x:v>
      </x:c>
      <x:c r="C22" s="37" t="str">
        <x:v>显性</x:v>
      </x:c>
      <x:c r="D22" s="26" t="n">
        <x:v>0.9</x:v>
      </x:c>
      <x:c r="E22" s="20" t="str">
        <x:v>不想全是网红打卡</x:v>
      </x:c>
      <x:c r="F22" s="20" t="str">
        <x:v>是</x:v>
      </x:c>
      <x:c r="G22" s="20" t="str">
        <x:v>可以保留一个代表性经典点作为入口吗？</x:v>
      </x:c>
      <x:c r="H22" s="20" t="str">
        <x:v>去重与在地生活加权</x:v>
      </x:c>
      <x:c r="I22" s="20" t="str">
        <x:v>不是删除所有热门地标</x:v>
      </x:c>
    </x:row>
    <x:row r="23" ht="48" customHeight="1">
      <x:c r="A23" s="20" t="str">
        <x:v>预算</x:v>
      </x:c>
      <x:c r="B23" s="34" t="str"/>
      <x:c r="C23" s="37" t="str">
        <x:v>未知</x:v>
      </x:c>
      <x:c r="D23" s="26" t="n">
        <x:v>0</x:v>
      </x:c>
      <x:c r="E23" s="20" t="str">
        <x:v>未提及</x:v>
      </x:c>
      <x:c r="F23" s="20" t="str">
        <x:v>否</x:v>
      </x:c>
      <x:c r="G23" s="20" t="str">
        <x:v>接近报价时再问</x:v>
      </x:c>
      <x:c r="H23" s="20" t="str">
        <x:v>服务层级</x:v>
      </x:c>
      <x:c r="I23" s="20" t="str">
        <x:v>当前不阻断免费路书</x:v>
      </x:c>
    </x:row>
    <x:row r="24" ht="48" customHeight="1">
      <x:c r="A24" s="20" t="str">
        <x:v>语言/工具</x:v>
      </x:c>
      <x:c r="B24" s="34" t="str"/>
      <x:c r="C24" s="37" t="str">
        <x:v>未知</x:v>
      </x:c>
      <x:c r="D24" s="26" t="n">
        <x:v>0</x:v>
      </x:c>
      <x:c r="E24" s="20" t="str">
        <x:v>未提及</x:v>
      </x:c>
      <x:c r="F24" s="20" t="str">
        <x:v>是</x:v>
      </x:c>
      <x:c r="G24" s="20" t="str">
        <x:v>中文、支付和地图工具的使用情况怎样？</x:v>
      </x:c>
      <x:c r="H24" s="20" t="str">
        <x:v>独立执行难度</x:v>
      </x:c>
      <x:c r="I24" s="20" t="str"/>
    </x:row>
    <x:row r="25" ht="48" customHeight="1">
      <x:c r="A25" s="21" t="str">
        <x:v>饮食/医疗</x:v>
      </x:c>
      <x:c r="B25" s="35" t="str"/>
      <x:c r="C25" s="38" t="str">
        <x:v>未知</x:v>
      </x:c>
      <x:c r="D25" s="27" t="n">
        <x:v>0</x:v>
      </x:c>
      <x:c r="E25" s="21" t="str">
        <x:v>未提及</x:v>
      </x:c>
      <x:c r="F25" s="21" t="str">
        <x:v>是</x:v>
      </x:c>
      <x:c r="G25" s="21" t="str">
        <x:v>有过敏、忌口或不能吃辣吗？</x:v>
      </x:c>
      <x:c r="H25" s="21" t="str">
        <x:v>食物体验安全</x:v>
      </x:c>
      <x:c r="I25" s="21" t="str">
        <x:v>涉及收费体验时阻断</x:v>
      </x:c>
    </x:row>
    <x:row r="27">
      <x:c r="A27" s="39" t="str">
        <x:v>八个可检索潜意图维度｜强度0—5；只有置信度≥50%才能参与排序</x:v>
      </x:c>
      <x:c r="B27" s="39"/>
      <x:c r="C27" s="39"/>
      <x:c r="D27" s="39"/>
      <x:c r="E27" s="39"/>
      <x:c r="F27" s="39"/>
      <x:c r="G27" s="39"/>
      <x:c r="H27" s="39"/>
      <x:c r="I27" s="39"/>
    </x:row>
    <x:row r="28">
      <x:c r="A28" s="10" t="str">
        <x:v>意图维度</x:v>
      </x:c>
      <x:c r="B28" s="10" t="str">
        <x:v>强度0-5</x:v>
      </x:c>
      <x:c r="C28" s="10" t="str">
        <x:v>置信度</x:v>
      </x:c>
      <x:c r="D28" s="10" t="str">
        <x:v>客户原话证据</x:v>
      </x:c>
      <x:c r="E28" s="10" t="str">
        <x:v>推断理由</x:v>
      </x:c>
      <x:c r="F28" s="10" t="str">
        <x:v>是否参与排序</x:v>
      </x:c>
      <x:c r="G28" s="10" t="str">
        <x:v>允许影响</x:v>
      </x:c>
      <x:c r="H28" s="10" t="str">
        <x:v>禁止越界</x:v>
      </x:c>
    </x:row>
    <x:row r="29" ht="50" customHeight="1">
      <x:c r="A29" s="19" t="str">
        <x:v>视觉奇观</x:v>
      </x:c>
      <x:c r="B29" s="40" t="n">
        <x:v>5</x:v>
      </x:c>
      <x:c r="C29" s="43" t="n">
        <x:v>0.95</x:v>
      </x:c>
      <x:c r="D29" s="19" t="str">
        <x:v>拍到很特别的城市感</x:v>
      </x:c>
      <x:c r="E29" s="19" t="str">
        <x:v>目标直接指向不可替代的城市视觉</x:v>
      </x:c>
      <x:c r="F29" s="19" t="str">
        <x:v>是</x:v>
      </x:c>
      <x:c r="G29" s="19" t="str">
        <x:v>模块排序</x:v>
      </x:c>
      <x:c r="H29" s="19" t="str">
        <x:v>不等同于只拍网红机位</x:v>
      </x:c>
    </x:row>
    <x:row r="30" ht="50" customHeight="1">
      <x:c r="A30" s="20" t="str">
        <x:v>历史理解</x:v>
      </x:c>
      <x:c r="B30" s="41" t="n">
        <x:v>2</x:v>
      </x:c>
      <x:c r="C30" s="44" t="n">
        <x:v>0.35</x:v>
      </x:c>
      <x:c r="D30" s="20" t="str">
        <x:v>未直接提及</x:v>
      </x:c>
      <x:c r="E30" s="20" t="str">
        <x:v>只有反网红表达，证据不足</x:v>
      </x:c>
      <x:c r="F30" s="20" t="str">
        <x:v>仅追问</x:v>
      </x:c>
      <x:c r="G30" s="20" t="str">
        <x:v>不影响排序</x:v>
      </x:c>
      <x:c r="H30" s="20" t="str">
        <x:v>不能自动加长历史讲解</x:v>
      </x:c>
    </x:row>
    <x:row r="31" ht="50" customHeight="1">
      <x:c r="A31" s="20" t="str">
        <x:v>在地生活</x:v>
      </x:c>
      <x:c r="B31" s="41" t="n">
        <x:v>4</x:v>
      </x:c>
      <x:c r="C31" s="44" t="n">
        <x:v>0.8</x:v>
      </x:c>
      <x:c r="D31" s="20" t="str">
        <x:v>不想全是网红打卡</x:v>
      </x:c>
      <x:c r="E31" s="20" t="str">
        <x:v>可能希望真实感和差异化</x:v>
      </x:c>
      <x:c r="F31" s="20" t="str">
        <x:v>是</x:v>
      </x:c>
      <x:c r="G31" s="20" t="str">
        <x:v>模块排序</x:v>
      </x:c>
      <x:c r="H31" s="20" t="str">
        <x:v>不能进入居民私域</x:v>
      </x:c>
    </x:row>
    <x:row r="32" ht="50" customHeight="1">
      <x:c r="A32" s="20" t="str">
        <x:v>饮食互动</x:v>
      </x:c>
      <x:c r="B32" s="41" t="n">
        <x:v>2</x:v>
      </x:c>
      <x:c r="C32" s="44" t="n">
        <x:v>0.2</x:v>
      </x:c>
      <x:c r="D32" s="20" t="str">
        <x:v>未提及</x:v>
      </x:c>
      <x:c r="E32" s="20" t="str">
        <x:v>默认值，证据不足</x:v>
      </x:c>
      <x:c r="F32" s="20" t="str">
        <x:v>仅追问</x:v>
      </x:c>
      <x:c r="G32" s="20" t="str">
        <x:v>不影响排序</x:v>
      </x:c>
      <x:c r="H32" s="20" t="str">
        <x:v>不能假定能吃辣</x:v>
      </x:c>
    </x:row>
    <x:row r="33" ht="50" customHeight="1">
      <x:c r="A33" s="20" t="str">
        <x:v>低摩擦</x:v>
      </x:c>
      <x:c r="B33" s="41" t="n">
        <x:v>5</x:v>
      </x:c>
      <x:c r="C33" s="44" t="n">
        <x:v>0.75</x:v>
      </x:c>
      <x:c r="D33" s="20" t="str">
        <x:v>和妈妈一起；不想太累</x:v>
      </x:c>
      <x:c r="E33" s="20" t="str">
        <x:v>可能重视节奏与转场确定性</x:v>
      </x:c>
      <x:c r="F33" s="20" t="str">
        <x:v>是</x:v>
      </x:c>
      <x:c r="G33" s="20" t="str">
        <x:v>模块排序与体力修正</x:v>
      </x:c>
      <x:c r="H33" s="20" t="str">
        <x:v>不等同于行动不便</x:v>
      </x:c>
    </x:row>
    <x:row r="34" ht="50" customHeight="1">
      <x:c r="A34" s="20" t="str">
        <x:v>摄影创作</x:v>
      </x:c>
      <x:c r="B34" s="41" t="n">
        <x:v>4</x:v>
      </x:c>
      <x:c r="C34" s="44" t="n">
        <x:v>0.9</x:v>
      </x:c>
      <x:c r="D34" s="20" t="str">
        <x:v>想拍到很特别</x:v>
      </x:c>
      <x:c r="E34" s="20" t="str">
        <x:v>明确存在影像目标</x:v>
      </x:c>
      <x:c r="F34" s="20" t="str">
        <x:v>是</x:v>
      </x:c>
      <x:c r="G34" s="20" t="str">
        <x:v>模块排序</x:v>
      </x:c>
      <x:c r="H34" s="20" t="str">
        <x:v>不能假定商业拍摄</x:v>
      </x:c>
    </x:row>
    <x:row r="35" ht="50" customHeight="1">
      <x:c r="A35" s="20" t="str">
        <x:v>亲子教育</x:v>
      </x:c>
      <x:c r="B35" s="41" t="n">
        <x:v>0</x:v>
      </x:c>
      <x:c r="C35" s="44" t="n">
        <x:v>0</x:v>
      </x:c>
      <x:c r="D35" s="20" t="str">
        <x:v>未提及</x:v>
      </x:c>
      <x:c r="E35" s="20" t="str">
        <x:v>无证据</x:v>
      </x:c>
      <x:c r="F35" s="20" t="str">
        <x:v>仅追问</x:v>
      </x:c>
      <x:c r="G35" s="20" t="str">
        <x:v>不影响排序</x:v>
      </x:c>
      <x:c r="H35" s="20" t="str">
        <x:v>不能从家庭同行推断亲子</x:v>
      </x:c>
    </x:row>
    <x:row r="36" ht="50" customHeight="1">
      <x:c r="A36" s="21" t="str">
        <x:v>复游新鲜感</x:v>
      </x:c>
      <x:c r="B36" s="42" t="n">
        <x:v>4</x:v>
      </x:c>
      <x:c r="C36" s="45" t="n">
        <x:v>0.8</x:v>
      </x:c>
      <x:c r="D36" s="21" t="str">
        <x:v>不想全是网红打卡</x:v>
      </x:c>
      <x:c r="E36" s="21" t="str">
        <x:v>希望减少同质化体验</x:v>
      </x:c>
      <x:c r="F36" s="21" t="str">
        <x:v>是</x:v>
      </x:c>
      <x:c r="G36" s="21" t="str">
        <x:v>模块排序与去重</x:v>
      </x:c>
      <x:c r="H36" s="21" t="str">
        <x:v>首访仍可保留一个代表性入口</x:v>
      </x:c>
    </x:row>
    <x:row r="38">
      <x:c r="A38" s="29" t="str">
        <x:v>当前追问队列｜每轮最多问2个，先问会改变安全与路线的问题</x:v>
      </x:c>
      <x:c r="B38" s="29"/>
      <x:c r="C38" s="29"/>
      <x:c r="D38" s="29"/>
      <x:c r="E38" s="29"/>
      <x:c r="F38" s="29"/>
      <x:c r="G38" s="29"/>
      <x:c r="H38" s="29"/>
      <x:c r="I38" s="29"/>
    </x:row>
    <x:row r="39" ht="42" customHeight="1">
      <x:c r="A39" s="48" t="n">
        <x:v>1</x:v>
      </x:c>
      <x:c r="B39" s="48" t="str">
        <x:v>体力确认</x:v>
      </x:c>
      <x:c r="C39" s="67" t="str">
        <x:v>妈妈每天能连续走多久？连续台阶或膝关节有没有限制？</x:v>
      </x:c>
      <x:c r="D39" s="68"/>
      <x:c r="E39" s="68"/>
      <x:c r="F39" s="68"/>
      <x:c r="G39" s="68"/>
      <x:c r="H39" s="68"/>
      <x:c r="I39" s="69"/>
    </x:row>
    <x:row r="40" ht="42" customHeight="1">
      <x:c r="A40" s="48" t="n">
        <x:v>2</x:v>
      </x:c>
      <x:c r="B40" s="48" t="str">
        <x:v>有效时间</x:v>
      </x:c>
      <x:c r="C40" s="70" t="str">
        <x:v>哪天几点能从酒店出发，最后一天几点必须离开？</x:v>
      </x:c>
      <x:c r="D40" s="71"/>
      <x:c r="E40" s="71"/>
      <x:c r="F40" s="71"/>
      <x:c r="G40" s="71"/>
      <x:c r="H40" s="71"/>
      <x:c r="I40" s="72"/>
    </x:row>
    <x:row r="41" ht="42" customHeight="1">
      <x:c r="A41" s="48" t="n">
        <x:v>3</x:v>
      </x:c>
      <x:c r="B41" s="48" t="str">
        <x:v>经典点取舍</x:v>
      </x:c>
      <x:c r="C41" s="70" t="str">
        <x:v>可以保留一个代表性经典点作为城市入口吗？</x:v>
      </x:c>
      <x:c r="D41" s="71"/>
      <x:c r="E41" s="71"/>
      <x:c r="F41" s="71"/>
      <x:c r="G41" s="71"/>
      <x:c r="H41" s="71"/>
      <x:c r="I41" s="72"/>
    </x:row>
    <x:row r="42" ht="42" customHeight="1">
      <x:c r="A42" s="48" t="n">
        <x:v>4</x:v>
      </x:c>
      <x:c r="B42" s="48" t="str">
        <x:v>语言与工具</x:v>
      </x:c>
      <x:c r="C42" s="70" t="str">
        <x:v>中文、支付和地图工具的使用情况怎样？</x:v>
      </x:c>
      <x:c r="D42" s="71"/>
      <x:c r="E42" s="71"/>
      <x:c r="F42" s="71"/>
      <x:c r="G42" s="71"/>
      <x:c r="H42" s="71"/>
      <x:c r="I42" s="72"/>
    </x:row>
    <x:row r="43" ht="42" customHeight="1">
      <x:c r="A43" s="48" t="n">
        <x:v>5</x:v>
      </x:c>
      <x:c r="B43" s="48" t="str">
        <x:v>饮食安全</x:v>
      </x:c>
      <x:c r="C43" s="73" t="str">
        <x:v>有过敏、忌口或不能吃辣吗？</x:v>
      </x:c>
      <x:c r="D43" s="74"/>
      <x:c r="E43" s="74"/>
      <x:c r="F43" s="74"/>
      <x:c r="G43" s="74"/>
      <x:c r="H43" s="74"/>
      <x:c r="I43" s="75"/>
    </x:row>
  </x:sheetData>
  <x:mergeCells>
    <x:mergeCell ref="A1:I1"/>
    <x:mergeCell ref="A2:I2"/>
    <x:mergeCell ref="A4:I4"/>
    <x:mergeCell ref="A5:I7"/>
    <x:mergeCell ref="A27:I27"/>
    <x:mergeCell ref="A38:I38"/>
    <x:mergeCell ref="C39:I39"/>
    <x:mergeCell ref="C40:I40"/>
    <x:mergeCell ref="C41:I41"/>
    <x:mergeCell ref="C42:I42"/>
    <x:mergeCell ref="C43:I43"/>
  </x:mergeCells>
  <x:dataValidations count="8">
    <x:dataValidation type="list" sqref="B12">
      <x:formula1>"2,3,4"</x:formula1>
    </x:dataValidation>
    <x:dataValidation type="list" sqref="B13">
      <x:formula1>"首次经典,赛博摄影,文化历史,美食生活,亲子轻松,复游客"</x:formula1>
    </x:dataValidation>
    <x:dataValidation type="list" sqref="B15">
      <x:formula1>"高,中,低"</x:formula1>
    </x:dataValidation>
    <x:dataValidation type="list" sqref="B16">
      <x:formula1>"正常,炎热,雨天"</x:formula1>
    </x:dataValidation>
    <x:dataValidation type="list" sqref="B17">
      <x:formula1>"开埠徒步,工业艺术"</x:formula1>
    </x:dataValidation>
    <x:dataValidation type="list" sqref="B18">
      <x:formula1>"精简,标准,深度"</x:formula1>
    </x:dataValidation>
    <x:dataValidation type="whole" operator="between" sqref="B29:B36">
      <x:formula1>0</x:formula1>
      <x:formula2>5</x:formula2>
    </x:dataValidation>
    <x:dataValidation type="decimal" operator="between" sqref="C29:C36">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 hidden="0" customWidth="1"/>
    <x:col min="4" max="4" width="29" hidden="0" customWidth="1"/>
    <x:col min="5" max="5" width="18" hidden="0" customWidth="1"/>
    <x:col min="6" max="6" width="13" hidden="0" customWidth="1"/>
    <x:col min="7" max="7" width="38" hidden="0" customWidth="1"/>
    <x:col min="8" max="8" width="13" hidden="0" customWidth="1"/>
    <x:col min="9" max="9" width="13" hidden="0" customWidth="1"/>
    <x:col min="10" max="10" width="36" hidden="0" customWidth="1"/>
    <x:col min="11" max="11" width="38" hidden="0" customWidth="1"/>
  </x:cols>
  <x:sheetData>
    <x:row r="1" ht="32" customHeight="1">
      <x:c r="A1" s="3" t="str">
        <x:v>对话信号库｜识别需要，但不越过证据</x:v>
      </x:c>
      <x:c r="B1" s="3"/>
      <x:c r="C1" s="3"/>
      <x:c r="D1" s="3"/>
      <x:c r="E1" s="3"/>
      <x:c r="F1" s="3"/>
      <x:c r="G1" s="3"/>
      <x:c r="H1" s="3"/>
      <x:c r="I1" s="3"/>
      <x:c r="J1" s="3"/>
      <x:c r="K1" s="3"/>
    </x:row>
    <x:row r="2" ht="30" customHeight="1">
      <x:c r="A2" s="7" t="str">
        <x:v>例句只是语言模式，不是关键词触发器。潜意图必须结合上下文、客户原话和置信度；会影响安全、收费或履约的内容一律追问确认。</x:v>
      </x:c>
      <x:c r="B2" s="7"/>
      <x:c r="C2" s="7"/>
      <x:c r="D2" s="7"/>
      <x:c r="E2" s="7"/>
      <x:c r="F2" s="7"/>
      <x:c r="G2" s="7"/>
      <x:c r="H2" s="7"/>
      <x:c r="I2" s="7"/>
      <x:c r="J2" s="7"/>
      <x:c r="K2" s="7"/>
    </x:row>
    <x:row r="5" ht="34" customHeight="1">
      <x:c r="A5" s="11" t="str">
        <x:v>信号ID</x:v>
      </x:c>
      <x:c r="B5" s="11" t="str">
        <x:v>客户表达示例</x:v>
      </x:c>
      <x:c r="C5" s="11" t="str">
        <x:v>信号类型</x:v>
      </x:c>
      <x:c r="D5" s="11" t="str">
        <x:v>可能需要/状态</x:v>
      </x:c>
      <x:c r="E5" s="11" t="str">
        <x:v>证据来源</x:v>
      </x:c>
      <x:c r="F5" s="11" t="str">
        <x:v>置信度上限</x:v>
      </x:c>
      <x:c r="G5" s="11" t="str">
        <x:v>允许动作</x:v>
      </x:c>
      <x:c r="H5" s="11" t="str">
        <x:v>可影响排序</x:v>
      </x:c>
      <x:c r="I5" s="11" t="str">
        <x:v>必须确认</x:v>
      </x:c>
      <x:c r="J5" s="11" t="str">
        <x:v>建议追问</x:v>
      </x:c>
      <x:c r="K5" s="11" t="str">
        <x:v>禁止过度推断</x:v>
      </x:c>
    </x:row>
    <x:row r="6" ht="58" customHeight="1">
      <x:c r="A6" s="19" t="str">
        <x:v>SG01</x:v>
      </x:c>
      <x:c r="B6" s="19" t="str">
        <x:v>“第一次来重庆”“只有三天”</x:v>
      </x:c>
      <x:c r="C6" s="19" t="str">
        <x:v>显性事实</x:v>
      </x:c>
      <x:c r="D6" s="19" t="str">
        <x:v>首访与时间预算</x:v>
      </x:c>
      <x:c r="E6" s="19" t="str">
        <x:v>客户直接陈述</x:v>
      </x:c>
      <x:c r="F6" s="25" t="n">
        <x:v>1</x:v>
      </x:c>
      <x:c r="G6" s="19" t="str">
        <x:v>写入硬行程字段；优先经典框架</x:v>
      </x:c>
      <x:c r="H6" s="19" t="str">
        <x:v>是</x:v>
      </x:c>
      <x:c r="I6" s="19" t="str">
        <x:v>否</x:v>
      </x:c>
      <x:c r="J6" s="19" t="str">
        <x:v>还需要知道抵离时间吗？</x:v>
      </x:c>
      <x:c r="K6" s="19" t="str">
        <x:v>不能据此推断预算或体力</x:v>
      </x:c>
    </x:row>
    <x:row r="7" ht="58" customHeight="1">
      <x:c r="A7" s="20" t="str">
        <x:v>SG02</x:v>
      </x:c>
      <x:c r="B7" s="20" t="str">
        <x:v>“和妈妈/父母一起”</x:v>
      </x:c>
      <x:c r="C7" s="20" t="str">
        <x:v>潜在约束</x:v>
      </x:c>
      <x:c r="D7" s="20" t="str">
        <x:v>可能重视体力、休息和确定性</x:v>
      </x:c>
      <x:c r="E7" s="20" t="str">
        <x:v>同行关系＋上下文</x:v>
      </x:c>
      <x:c r="F7" s="26" t="n">
        <x:v>0.75</x:v>
      </x:c>
      <x:c r="G7" s="20" t="str">
        <x:v>提高低摩擦候选，但不直接删除步道</x:v>
      </x:c>
      <x:c r="H7" s="20" t="str">
        <x:v>是</x:v>
      </x:c>
      <x:c r="I7" s="20" t="str">
        <x:v>是</x:v>
      </x:c>
      <x:c r="J7" s="20" t="str">
        <x:v>每天能连续走多久？台阶是否有问题？</x:v>
      </x:c>
      <x:c r="K7" s="20" t="str">
        <x:v>不能把父母自动等同于行动不便</x:v>
      </x:c>
    </x:row>
    <x:row r="8" ht="58" customHeight="1">
      <x:c r="A8" s="20" t="str">
        <x:v>SG03</x:v>
      </x:c>
      <x:c r="B8" s="20" t="str">
        <x:v>“不想太累”</x:v>
      </x:c>
      <x:c r="C8" s="20" t="str">
        <x:v>显性偏好</x:v>
      </x:c>
      <x:c r="D8" s="20" t="str">
        <x:v>低体力或慢节奏</x:v>
      </x:c>
      <x:c r="E8" s="20" t="str">
        <x:v>客户直接陈述</x:v>
      </x:c>
      <x:c r="F8" s="26" t="n">
        <x:v>0.95</x:v>
      </x:c>
      <x:c r="G8" s="20" t="str">
        <x:v>降低长台阶、增加休息和短转场</x:v>
      </x:c>
      <x:c r="H8" s="20" t="str">
        <x:v>是</x:v>
      </x:c>
      <x:c r="I8" s="20" t="str">
        <x:v>是</x:v>
      </x:c>
      <x:c r="J8" s="20" t="str">
        <x:v>连续步行和台阶大约能接受多少？</x:v>
      </x:c>
      <x:c r="K8" s="20" t="str">
        <x:v>不能只用年龄判断体力</x:v>
      </x:c>
    </x:row>
    <x:row r="9" ht="58" customHeight="1">
      <x:c r="A9" s="20" t="str">
        <x:v>SG04</x:v>
      </x:c>
      <x:c r="B9" s="20" t="str">
        <x:v>“想拍到很特别的城市感”</x:v>
      </x:c>
      <x:c r="C9" s="20" t="str">
        <x:v>潜在目标</x:v>
      </x:c>
      <x:c r="D9" s="20" t="str">
        <x:v>视觉奇观＋摄影创作</x:v>
      </x:c>
      <x:c r="E9" s="20" t="str">
        <x:v>目标措辞</x:v>
      </x:c>
      <x:c r="F9" s="26" t="n">
        <x:v>0.9</x:v>
      </x:c>
      <x:c r="G9" s="20" t="str">
        <x:v>提高多重地面、单轨和城市剖面模块</x:v>
      </x:c>
      <x:c r="H9" s="20" t="str">
        <x:v>是</x:v>
      </x:c>
      <x:c r="I9" s="20" t="str">
        <x:v>否</x:v>
      </x:c>
      <x:c r="J9" s="20" t="str">
        <x:v>更重视白天建筑、夜景还是视频素材？</x:v>
      </x:c>
      <x:c r="K9" s="20" t="str">
        <x:v>不能自动推断其为职业创作者</x:v>
      </x:c>
    </x:row>
    <x:row r="10" ht="58" customHeight="1">
      <x:c r="A10" s="20" t="str">
        <x:v>SG05</x:v>
      </x:c>
      <x:c r="B10" s="20" t="str">
        <x:v>“不想全是网红打卡”</x:v>
      </x:c>
      <x:c r="C10" s="20" t="str">
        <x:v>潜在目标</x:v>
      </x:c>
      <x:c r="D10" s="20" t="str">
        <x:v>真实感、解释深度和反同质化</x:v>
      </x:c>
      <x:c r="E10" s="20" t="str">
        <x:v>价值判断</x:v>
      </x:c>
      <x:c r="F10" s="26" t="n">
        <x:v>0.8</x:v>
      </x:c>
      <x:c r="G10" s="20" t="str">
        <x:v>保留一个代表性钩子，同时提高在地生活和历史解释</x:v>
      </x:c>
      <x:c r="H10" s="20" t="str">
        <x:v>是</x:v>
      </x:c>
      <x:c r="I10" s="20" t="str">
        <x:v>是</x:v>
      </x:c>
      <x:c r="J10" s="20" t="str">
        <x:v>可以保留一个经典点作为城市入口吗？</x:v>
      </x:c>
      <x:c r="K10" s="20" t="str">
        <x:v>不能把所有热门地标全部删除</x:v>
      </x:c>
    </x:row>
    <x:row r="11" ht="58" customHeight="1">
      <x:c r="A11" s="20" t="str">
        <x:v>SG06</x:v>
      </x:c>
      <x:c r="B11" s="20" t="str">
        <x:v>“随便，你安排”</x:v>
      </x:c>
      <x:c r="C11" s="20" t="str">
        <x:v>潜在状态</x:v>
      </x:c>
      <x:c r="D11" s="20" t="str">
        <x:v>决策疲劳或信任测试</x:v>
      </x:c>
      <x:c r="E11" s="20" t="str">
        <x:v>对选择的回避</x:v>
      </x:c>
      <x:c r="F11" s="26" t="n">
        <x:v>0.65</x:v>
      </x:c>
      <x:c r="G11" s="20" t="str">
        <x:v>只给两个方向，不继续堆选项</x:v>
      </x:c>
      <x:c r="H11" s="20" t="str">
        <x:v>否</x:v>
      </x:c>
      <x:c r="I11" s="20" t="str">
        <x:v>是</x:v>
      </x:c>
      <x:c r="J11" s="20" t="str">
        <x:v>你更怕走累，还是更怕错过代表性体验？</x:v>
      </x:c>
      <x:c r="K11" s="20" t="str">
        <x:v>不能理解成没有偏好</x:v>
      </x:c>
    </x:row>
    <x:row r="12" ht="58" customHeight="1">
      <x:c r="A12" s="20" t="str">
        <x:v>SG07</x:v>
      </x:c>
      <x:c r="B12" s="20" t="str">
        <x:v>“我是背包客”</x:v>
      </x:c>
      <x:c r="C12" s="20" t="str">
        <x:v>身份线索</x:v>
      </x:c>
      <x:c r="D12" s="20" t="str">
        <x:v>自主、灵活和探索倾向</x:v>
      </x:c>
      <x:c r="E12" s="20" t="str">
        <x:v>自我描述</x:v>
      </x:c>
      <x:c r="F12" s="26" t="n">
        <x:v>0.65</x:v>
      </x:c>
      <x:c r="G12" s="20" t="str">
        <x:v>提高公共交通、徒步和非标准街区的候选</x:v>
      </x:c>
      <x:c r="H12" s="20" t="str">
        <x:v>是</x:v>
      </x:c>
      <x:c r="I12" s="20" t="str">
        <x:v>是</x:v>
      </x:c>
      <x:c r="J12" s="20" t="str">
        <x:v>这次更看重预算、自由度还是深度？</x:v>
      </x:c>
      <x:c r="K12" s="20" t="str">
        <x:v>不能自动等同于低预算</x:v>
      </x:c>
    </x:row>
    <x:row r="13" ht="58" customHeight="1">
      <x:c r="A13" s="20" t="str">
        <x:v>SG08</x:v>
      </x:c>
      <x:c r="B13" s="20" t="str">
        <x:v>“预算不是问题”</x:v>
      </x:c>
      <x:c r="C13" s="20" t="str">
        <x:v>交易线索</x:v>
      </x:c>
      <x:c r="D13" s="20" t="str">
        <x:v>可能更重视省时、私密或高确定性</x:v>
      </x:c>
      <x:c r="E13" s="20" t="str">
        <x:v>付费态度</x:v>
      </x:c>
      <x:c r="F13" s="26" t="n">
        <x:v>0.7</x:v>
      </x:c>
      <x:c r="G13" s="20" t="str">
        <x:v>可展示人工校验、司机或专家服务</x:v>
      </x:c>
      <x:c r="H13" s="20" t="str">
        <x:v>否</x:v>
      </x:c>
      <x:c r="I13" s="20" t="str">
        <x:v>是</x:v>
      </x:c>
      <x:c r="J13" s="20" t="str">
        <x:v>您更愿意为省时间、专业讲解还是独家体验付费？</x:v>
      </x:c>
      <x:c r="K13" s="20" t="str">
        <x:v>不能自动推奢华酒店和高价产品</x:v>
      </x:c>
    </x:row>
    <x:row r="14" ht="58" customHeight="1">
      <x:c r="A14" s="20" t="str">
        <x:v>SG09</x:v>
      </x:c>
      <x:c r="B14" s="20" t="str">
        <x:v>“想见当地人”“想要真实生活”</x:v>
      </x:c>
      <x:c r="C14" s="20" t="str">
        <x:v>潜在目标</x:v>
      </x:c>
      <x:c r="D14" s="20" t="str">
        <x:v>社会接触和在地生活</x:v>
      </x:c>
      <x:c r="E14" s="20" t="str">
        <x:v>体验目标</x:v>
      </x:c>
      <x:c r="F14" s="26" t="n">
        <x:v>0.8</x:v>
      </x:c>
      <x:c r="G14" s="20" t="str">
        <x:v>提高饮食、茶馆和社区模块</x:v>
      </x:c>
      <x:c r="H14" s="20" t="str">
        <x:v>是</x:v>
      </x:c>
      <x:c r="I14" s="20" t="str">
        <x:v>是</x:v>
      </x:c>
      <x:c r="J14" s="20" t="str">
        <x:v>更喜欢自然观察还是有主持人的交流？</x:v>
      </x:c>
      <x:c r="K14" s="20" t="str">
        <x:v>不能承诺随机居民互动或进入私人空间</x:v>
      </x:c>
    </x:row>
    <x:row r="15" ht="58" customHeight="1">
      <x:c r="A15" s="20" t="str">
        <x:v>SG10</x:v>
      </x:c>
      <x:c r="B15" s="20" t="str">
        <x:v>“孩子喜欢地铁/交通工具”</x:v>
      </x:c>
      <x:c r="C15" s="20" t="str">
        <x:v>显性兴趣</x:v>
      </x:c>
      <x:c r="D15" s="20" t="str">
        <x:v>交通奇观＋亲子学习</x:v>
      </x:c>
      <x:c r="E15" s="20" t="str">
        <x:v>客户直接陈述</x:v>
      </x:c>
      <x:c r="F15" s="26" t="n">
        <x:v>0.95</x:v>
      </x:c>
      <x:c r="G15" s="20" t="str">
        <x:v>提高单轨乘坐和交通解释</x:v>
      </x:c>
      <x:c r="H15" s="20" t="str">
        <x:v>是</x:v>
      </x:c>
      <x:c r="I15" s="20" t="str">
        <x:v>是</x:v>
      </x:c>
      <x:c r="J15" s="20" t="str">
        <x:v>孩子年龄和可接受的乘车时长是多少？</x:v>
      </x:c>
      <x:c r="K15" s="20" t="str">
        <x:v>不能只给拍照点而忽略乘坐过程</x:v>
      </x:c>
    </x:row>
    <x:row r="16" ht="58" customHeight="1">
      <x:c r="A16" s="20" t="str">
        <x:v>SG11</x:v>
      </x:c>
      <x:c r="B16" s="20" t="str">
        <x:v>“我不喜欢历史”</x:v>
      </x:c>
      <x:c r="C16" s="20" t="str">
        <x:v>显性排斥</x:v>
      </x:c>
      <x:c r="D16" s="20" t="str">
        <x:v>需要短解释和体验切入</x:v>
      </x:c>
      <x:c r="E16" s="20" t="str">
        <x:v>客户直接陈述</x:v>
      </x:c>
      <x:c r="F16" s="26" t="n">
        <x:v>0.95</x:v>
      </x:c>
      <x:c r="G16" s="20" t="str">
        <x:v>减少场馆和年代堆叠，保留解释眼前现象的最低历史</x:v>
      </x:c>
      <x:c r="H16" s="20" t="str">
        <x:v>是</x:v>
      </x:c>
      <x:c r="I16" s="20" t="str">
        <x:v>否</x:v>
      </x:c>
      <x:c r="J16" s="20" t="str">
        <x:v>更愿意从建筑、食物还是人的故事进入？</x:v>
      </x:c>
      <x:c r="K16" s="20" t="str">
        <x:v>不能把所有背景解释清零</x:v>
      </x:c>
    </x:row>
    <x:row r="17" ht="58" customHeight="1">
      <x:c r="A17" s="20" t="str">
        <x:v>SG12</x:v>
      </x:c>
      <x:c r="B17" s="20" t="str">
        <x:v>“不想排队”</x:v>
      </x:c>
      <x:c r="C17" s="20" t="str">
        <x:v>硬偏好</x:v>
      </x:c>
      <x:c r="D17" s="20" t="str">
        <x:v>低摩擦和时间确定性</x:v>
      </x:c>
      <x:c r="E17" s="20" t="str">
        <x:v>客户直接陈述</x:v>
      </x:c>
      <x:c r="F17" s="26" t="n">
        <x:v>0.95</x:v>
      </x:c>
      <x:c r="G17" s="20" t="str">
        <x:v>降低索道、热门内部空间和高峰项目</x:v>
      </x:c>
      <x:c r="H17" s="20" t="str">
        <x:v>是</x:v>
      </x:c>
      <x:c r="I17" s="20" t="str">
        <x:v>是</x:v>
      </x:c>
      <x:c r="J17" s="20" t="str">
        <x:v>最多可接受多久排队？</x:v>
      </x:c>
      <x:c r="K17" s="20" t="str">
        <x:v>不能承诺绝对零排队</x:v>
      </x:c>
    </x:row>
    <x:row r="18" ht="58" customHeight="1">
      <x:c r="A18" s="20" t="str">
        <x:v>SG13</x:v>
      </x:c>
      <x:c r="B18" s="20" t="str">
        <x:v>“怕辣”“吃素”“有过敏”</x:v>
      </x:c>
      <x:c r="C18" s="20" t="str">
        <x:v>硬约束</x:v>
      </x:c>
      <x:c r="D18" s="20" t="str">
        <x:v>饮食安全和可替代方案</x:v>
      </x:c>
      <x:c r="E18" s="20" t="str">
        <x:v>客户直接陈述</x:v>
      </x:c>
      <x:c r="F18" s="26" t="n">
        <x:v>1</x:v>
      </x:c>
      <x:c r="G18" s="20" t="str">
        <x:v>食物模块必须进入确认状态，未核验不得收费</x:v>
      </x:c>
      <x:c r="H18" s="20" t="str">
        <x:v>否</x:v>
      </x:c>
      <x:c r="I18" s="20" t="str">
        <x:v>是</x:v>
      </x:c>
      <x:c r="J18" s="20" t="str">
        <x:v>请告诉我具体过敏原、忌口和可接受辣度。</x:v>
      </x:c>
      <x:c r="K18" s="20" t="str">
        <x:v>不能用‘少辣’替代过敏管理</x:v>
      </x:c>
    </x:row>
    <x:row r="19" ht="58" customHeight="1">
      <x:c r="A19" s="20" t="str">
        <x:v>SG14</x:v>
      </x:c>
      <x:c r="B19" s="20" t="str">
        <x:v>“酒店订在解放碑”</x:v>
      </x:c>
      <x:c r="C19" s="20" t="str">
        <x:v>显性事实</x:v>
      </x:c>
      <x:c r="D19" s="20" t="str">
        <x:v>地理锚点和转场成本</x:v>
      </x:c>
      <x:c r="E19" s="20" t="str">
        <x:v>客户直接陈述</x:v>
      </x:c>
      <x:c r="F19" s="26" t="n">
        <x:v>1</x:v>
      </x:c>
      <x:c r="G19" s="20" t="str">
        <x:v>优先半岛内连贯模块，减少不必要跨区</x:v>
      </x:c>
      <x:c r="H19" s="20" t="str">
        <x:v>是</x:v>
      </x:c>
      <x:c r="I19" s="20" t="str">
        <x:v>否</x:v>
      </x:c>
      <x:c r="J19" s="20" t="str">
        <x:v>入住和退房时间确定了吗？</x:v>
      </x:c>
      <x:c r="K19" s="20" t="str">
        <x:v>不能假设每天都必须返回酒店午休</x:v>
      </x:c>
    </x:row>
    <x:row r="20" ht="58" customHeight="1">
      <x:c r="A20" s="20" t="str">
        <x:v>SG15</x:v>
      </x:c>
      <x:c r="B20" s="20" t="str">
        <x:v>“洪崖洞和李子坝都去过”</x:v>
      </x:c>
      <x:c r="C20" s="20" t="str">
        <x:v>显性事实</x:v>
      </x:c>
      <x:c r="D20" s="20" t="str">
        <x:v>复游和新鲜感需求</x:v>
      </x:c>
      <x:c r="E20" s="20" t="str">
        <x:v>客户直接陈述</x:v>
      </x:c>
      <x:c r="F20" s="26" t="n">
        <x:v>1</x:v>
      </x:c>
      <x:c r="G20" s="20" t="str">
        <x:v>降低重复经典模块，提高开埠、艺术、工业和社区</x:v>
      </x:c>
      <x:c r="H20" s="20" t="str">
        <x:v>是</x:v>
      </x:c>
      <x:c r="I20" s="20" t="str">
        <x:v>否</x:v>
      </x:c>
      <x:c r="J20" s="20" t="str">
        <x:v>这次更想深入历史、生活还是创作？</x:v>
      </x:c>
      <x:c r="K20" s="20" t="str">
        <x:v>不能删除所有代表性城市结构解释</x:v>
      </x:c>
    </x:row>
    <x:row r="21" ht="58" customHeight="1">
      <x:c r="A21" s="20" t="str">
        <x:v>SG16</x:v>
      </x:c>
      <x:c r="B21" s="20" t="str">
        <x:v>“只想看最有代表性的”</x:v>
      </x:c>
      <x:c r="C21" s="20" t="str">
        <x:v>潜在目标</x:v>
      </x:c>
      <x:c r="D21" s="20" t="str">
        <x:v>害怕错过和经典确认</x:v>
      </x:c>
      <x:c r="E21" s="20" t="str">
        <x:v>目标措辞</x:v>
      </x:c>
      <x:c r="F21" s="26" t="n">
        <x:v>0.85</x:v>
      </x:c>
      <x:c r="G21" s="20" t="str">
        <x:v>提高首访骨架，但控制为一个钩子＋一个解释</x:v>
      </x:c>
      <x:c r="H21" s="20" t="str">
        <x:v>是</x:v>
      </x:c>
      <x:c r="I21" s="20" t="str">
        <x:v>否</x:v>
      </x:c>
      <x:c r="J21" s="20" t="str">
        <x:v>您更希望照片有代表性，还是故事有代表性？</x:v>
      </x:c>
      <x:c r="K21" s="20" t="str">
        <x:v>不能塞满所有榜单景点</x:v>
      </x:c>
    </x:row>
    <x:row r="22" ht="58" customHeight="1">
      <x:c r="A22" s="20" t="str">
        <x:v>SG17</x:v>
      </x:c>
      <x:c r="B22" s="20" t="str">
        <x:v>“重庆安全吗？”</x:v>
      </x:c>
      <x:c r="C22" s="20" t="str">
        <x:v>潜在状态</x:v>
      </x:c>
      <x:c r="D22" s="20" t="str">
        <x:v>不确定性、语言或出行焦虑</x:v>
      </x:c>
      <x:c r="E22" s="20" t="str">
        <x:v>风险提问</x:v>
      </x:c>
      <x:c r="F22" s="26" t="n">
        <x:v>0.75</x:v>
      </x:c>
      <x:c r="G22" s="20" t="str">
        <x:v>增加交通、夜间结束和支付说明</x:v>
      </x:c>
      <x:c r="H22" s="20" t="str">
        <x:v>否</x:v>
      </x:c>
      <x:c r="I22" s="20" t="str">
        <x:v>是</x:v>
      </x:c>
      <x:c r="J22" s="20" t="str">
        <x:v>最担心交通、夜间出行、饮食还是沟通？</x:v>
      </x:c>
      <x:c r="K22" s="20" t="str">
        <x:v>不能用泛泛‘非常安全’替代具体安排</x:v>
      </x:c>
    </x:row>
    <x:row r="23" ht="58" customHeight="1">
      <x:c r="A23" s="20" t="str">
        <x:v>SG18</x:v>
      </x:c>
      <x:c r="B23" s="20" t="str">
        <x:v>“想去小众的地方”</x:v>
      </x:c>
      <x:c r="C23" s="20" t="str">
        <x:v>潜在目标</x:v>
      </x:c>
      <x:c r="D23" s="20" t="str">
        <x:v>新鲜感和避开人群</x:v>
      </x:c>
      <x:c r="E23" s="20" t="str">
        <x:v>目标措辞</x:v>
      </x:c>
      <x:c r="F23" s="26" t="n">
        <x:v>0.8</x:v>
      </x:c>
      <x:c r="G23" s="20" t="str">
        <x:v>提高复游新鲜感和在地生活模块</x:v>
      </x:c>
      <x:c r="H23" s="20" t="str">
        <x:v>是</x:v>
      </x:c>
      <x:c r="I23" s="20" t="str">
        <x:v>是</x:v>
      </x:c>
      <x:c r="J23" s="20" t="str">
        <x:v>您要的是少人、少商业，还是更有本地故事？</x:v>
      </x:c>
      <x:c r="K23" s="20" t="str">
        <x:v>不能把私域、未开放或高风险地点包装成小众</x:v>
      </x:c>
    </x:row>
    <x:row r="24" ht="58" customHeight="1">
      <x:c r="A24" s="20" t="str">
        <x:v>SG19</x:v>
      </x:c>
      <x:c r="B24" s="20" t="str">
        <x:v>“我以前在中国生活/工作过”</x:v>
      </x:c>
      <x:c r="C24" s="20" t="str">
        <x:v>经验线索</x:v>
      </x:c>
      <x:c r="D24" s="20" t="str">
        <x:v>可能已有中国旅行熟悉度</x:v>
      </x:c>
      <x:c r="E24" s="20" t="str">
        <x:v>自我经历</x:v>
      </x:c>
      <x:c r="F24" s="26" t="n">
        <x:v>0.7</x:v>
      </x:c>
      <x:c r="G24" s="20" t="str">
        <x:v>先检查已知内容，再减少基础操作说明</x:v>
      </x:c>
      <x:c r="H24" s="20" t="str">
        <x:v>是</x:v>
      </x:c>
      <x:c r="I24" s="20" t="str">
        <x:v>是</x:v>
      </x:c>
      <x:c r="J24" s="20" t="str">
        <x:v>去过哪些城市？中文和本地应用使用到什么程度？</x:v>
      </x:c>
      <x:c r="K24" s="20" t="str">
        <x:v>不能假设其理解重庆或能使用全部中文服务</x:v>
      </x:c>
    </x:row>
    <x:row r="25" ht="58" customHeight="1">
      <x:c r="A25" s="20" t="str">
        <x:v>SG20</x:v>
      </x:c>
      <x:c r="B25" s="20" t="str">
        <x:v>“我不会中文”</x:v>
      </x:c>
      <x:c r="C25" s="20" t="str">
        <x:v>硬约束</x:v>
      </x:c>
      <x:c r="D25" s="20" t="str">
        <x:v>英语服务、导航和支付摩擦</x:v>
      </x:c>
      <x:c r="E25" s="20" t="str">
        <x:v>客户直接陈述</x:v>
      </x:c>
      <x:c r="F25" s="26" t="n">
        <x:v>1</x:v>
      </x:c>
      <x:c r="G25" s="20" t="str">
        <x:v>提高可独立执行度；供应商必须核验英语</x:v>
      </x:c>
      <x:c r="H25" s="20" t="str">
        <x:v>是</x:v>
      </x:c>
      <x:c r="I25" s="20" t="str">
        <x:v>否</x:v>
      </x:c>
      <x:c r="J25" s="20" t="str">
        <x:v>是否能使用翻译应用和中国支付工具？</x:v>
      </x:c>
      <x:c r="K25" s="20" t="str">
        <x:v>不能承诺未经核验的英文服务</x:v>
      </x:c>
    </x:row>
    <x:row r="26" ht="58" customHeight="1">
      <x:c r="A26" s="20" t="str">
        <x:v>SG21</x:v>
      </x:c>
      <x:c r="B26" s="20" t="str">
        <x:v>“当天下午才到/早班离开”</x:v>
      </x:c>
      <x:c r="C26" s="20" t="str">
        <x:v>显性事实</x:v>
      </x:c>
      <x:c r="D26" s="20" t="str">
        <x:v>可用时段和疲劳管理</x:v>
      </x:c>
      <x:c r="E26" s="20" t="str">
        <x:v>客户直接陈述</x:v>
      </x:c>
      <x:c r="F26" s="26" t="n">
        <x:v>1</x:v>
      </x:c>
      <x:c r="G26" s="20" t="str">
        <x:v>压缩当天信息预算，降低跨区和高体力模块</x:v>
      </x:c>
      <x:c r="H26" s="20" t="str">
        <x:v>是</x:v>
      </x:c>
      <x:c r="I26" s="20" t="str">
        <x:v>否</x:v>
      </x:c>
      <x:c r="J26" s="20" t="str">
        <x:v>预计到酒店和可出发的时间是几点？</x:v>
      </x:c>
      <x:c r="K26" s="20" t="str">
        <x:v>不能只按住宿夜数计算完整天数</x:v>
      </x:c>
    </x:row>
    <x:row r="27" ht="58" customHeight="1">
      <x:c r="A27" s="20" t="str">
        <x:v>SG22</x:v>
      </x:c>
      <x:c r="B27" s="20" t="str">
        <x:v>“凌晨航班/刚长途飞行到”</x:v>
      </x:c>
      <x:c r="C27" s="20" t="str">
        <x:v>显性事实</x:v>
      </x:c>
      <x:c r="D27" s="20" t="str">
        <x:v>睡眠、恢复和接送确定性</x:v>
      </x:c>
      <x:c r="E27" s="20" t="str">
        <x:v>客户直接陈述</x:v>
      </x:c>
      <x:c r="F27" s="26" t="n">
        <x:v>1</x:v>
      </x:c>
      <x:c r="G27" s="20" t="str">
        <x:v>首日降体力、缩短夜间安排</x:v>
      </x:c>
      <x:c r="H27" s="20" t="str">
        <x:v>是</x:v>
      </x:c>
      <x:c r="I27" s="20" t="str">
        <x:v>是</x:v>
      </x:c>
      <x:c r="J27" s="20" t="str">
        <x:v>第一天是否接受只做一个轻量模块？</x:v>
      </x:c>
      <x:c r="K27" s="20" t="str">
        <x:v>不能为了填满行程忽略时差与恢复</x:v>
      </x:c>
    </x:row>
    <x:row r="28" ht="58" customHeight="1">
      <x:c r="A28" s="20" t="str">
        <x:v>SG23</x:v>
      </x:c>
      <x:c r="B28" s="20" t="str">
        <x:v>“生日/周年/求婚”</x:v>
      </x:c>
      <x:c r="C28" s="20" t="str">
        <x:v>潜在目标</x:v>
      </x:c>
      <x:c r="D28" s="20" t="str">
        <x:v>情绪峰值、私密和可靠履约</x:v>
      </x:c>
      <x:c r="E28" s="20" t="str">
        <x:v>旅行事件</x:v>
      </x:c>
      <x:c r="F28" s="26" t="n">
        <x:v>0.9</x:v>
      </x:c>
      <x:c r="G28" s="20" t="str">
        <x:v>选择可控、可备选和可拍摄的时段；触发人工服务</x:v>
      </x:c>
      <x:c r="H28" s="20" t="str">
        <x:v>否</x:v>
      </x:c>
      <x:c r="I28" s="20" t="str">
        <x:v>是</x:v>
      </x:c>
      <x:c r="J28" s="20" t="str">
        <x:v>需要私密、摄影、布置还是餐饮配合？</x:v>
      </x:c>
      <x:c r="K28" s="20" t="str">
        <x:v>不能在未确认许可与备选方案前承诺特殊安排</x:v>
      </x:c>
    </x:row>
    <x:row r="29" ht="58" customHeight="1">
      <x:c r="A29" s="20" t="str">
        <x:v>SG24</x:v>
      </x:c>
      <x:c r="B29" s="20" t="str">
        <x:v>“我要拍YouTube/TikTok/商业内容”</x:v>
      </x:c>
      <x:c r="C29" s="20" t="str">
        <x:v>硬用途</x:v>
      </x:c>
      <x:c r="D29" s="20" t="str">
        <x:v>创作者工作流和拍摄许可</x:v>
      </x:c>
      <x:c r="E29" s="20" t="str">
        <x:v>用途陈述</x:v>
      </x:c>
      <x:c r="F29" s="26" t="n">
        <x:v>1</x:v>
      </x:c>
      <x:c r="G29" s="20" t="str">
        <x:v>提高摄影创作模块并检查版权、器材和许可</x:v>
      </x:c>
      <x:c r="H29" s="20" t="str">
        <x:v>是</x:v>
      </x:c>
      <x:c r="I29" s="20" t="str">
        <x:v>是</x:v>
      </x:c>
      <x:c r="J29" s="20" t="str">
        <x:v>设备、团队人数、商业用途和发布时间是什么？</x:v>
      </x:c>
      <x:c r="K29" s="20" t="str">
        <x:v>不能把普通游客拍摄规则用于商业拍摄</x:v>
      </x:c>
    </x:row>
    <x:row r="30" ht="58" customHeight="1">
      <x:c r="A30" s="20" t="str">
        <x:v>SG25</x:v>
      </x:c>
      <x:c r="B30" s="20" t="str">
        <x:v>“不喜欢被推销/怕被坑”</x:v>
      </x:c>
      <x:c r="C30" s="20" t="str">
        <x:v>潜在状态</x:v>
      </x:c>
      <x:c r="D30" s="20" t="str">
        <x:v>信任、透明价格和低销售压力</x:v>
      </x:c>
      <x:c r="E30" s="20" t="str">
        <x:v>风险表达</x:v>
      </x:c>
      <x:c r="F30" s="26" t="n">
        <x:v>0.85</x:v>
      </x:c>
      <x:c r="G30" s="20" t="str">
        <x:v>明确价格边界、无购物佣金和取消规则</x:v>
      </x:c>
      <x:c r="H30" s="20" t="str">
        <x:v>否</x:v>
      </x:c>
      <x:c r="I30" s="20" t="str">
        <x:v>否</x:v>
      </x:c>
      <x:c r="J30" s="20" t="str">
        <x:v>可主动说明服务如何收费和不包含什么。</x:v>
      </x:c>
      <x:c r="K30" s="20" t="str">
        <x:v>不能用情绪安抚替代透明规则</x:v>
      </x:c>
    </x:row>
    <x:row r="31" ht="58" customHeight="1">
      <x:c r="A31" s="20" t="str">
        <x:v>SG26</x:v>
      </x:c>
      <x:c r="B31" s="20" t="str">
        <x:v>“想慢慢走、坐下来观察”</x:v>
      </x:c>
      <x:c r="C31" s="20" t="str">
        <x:v>显性偏好</x:v>
      </x:c>
      <x:c r="D31" s="20" t="str">
        <x:v>慢旅行、低密度和观察任务</x:v>
      </x:c>
      <x:c r="E31" s="20" t="str">
        <x:v>客户直接陈述</x:v>
      </x:c>
      <x:c r="F31" s="26" t="n">
        <x:v>0.95</x:v>
      </x:c>
      <x:c r="G31" s="20" t="str">
        <x:v>减少模块数，提高茶馆、社区和高点复盘</x:v>
      </x:c>
      <x:c r="H31" s="20" t="str">
        <x:v>是</x:v>
      </x:c>
      <x:c r="I31" s="20" t="str">
        <x:v>否</x:v>
      </x:c>
      <x:c r="J31" s="20" t="str">
        <x:v>更想观察生活、建筑还是食物？</x:v>
      </x:c>
      <x:c r="K31" s="20" t="str">
        <x:v>不能把慢旅行等同于低体力</x:v>
      </x:c>
    </x:row>
    <x:row r="32" ht="58" customHeight="1">
      <x:c r="A32" s="20" t="str">
        <x:v>SG27</x:v>
      </x:c>
      <x:c r="B32" s="20" t="str">
        <x:v>“只有两天但都想看”</x:v>
      </x:c>
      <x:c r="C32" s="20" t="str">
        <x:v>意图冲突</x:v>
      </x:c>
      <x:c r="D32" s="20" t="str">
        <x:v>害怕错过与时间不足</x:v>
      </x:c>
      <x:c r="E32" s="20" t="str">
        <x:v>显性事实＋矛盾</x:v>
      </x:c>
      <x:c r="F32" s="26" t="n">
        <x:v>0.9</x:v>
      </x:c>
      <x:c r="G32" s="20" t="str">
        <x:v>先说明取舍，提出两种主叙事，不暗中超载</x:v>
      </x:c>
      <x:c r="H32" s="20" t="str">
        <x:v>否</x:v>
      </x:c>
      <x:c r="I32" s="20" t="str">
        <x:v>是</x:v>
      </x:c>
      <x:c r="J32" s="20" t="str">
        <x:v>经典城市感和历史深度，哪一个优先？</x:v>
      </x:c>
      <x:c r="K32" s="20" t="str">
        <x:v>不能通过压缩停留和增加转场假装都能完成</x:v>
      </x:c>
    </x:row>
    <x:row r="33" ht="58" customHeight="1">
      <x:c r="A33" s="20" t="str">
        <x:v>SG28</x:v>
      </x:c>
      <x:c r="B33" s="20" t="str">
        <x:v>“我们不确定去哪座城市”</x:v>
      </x:c>
      <x:c r="C33" s="20" t="str">
        <x:v>旅程阶段</x:v>
      </x:c>
      <x:c r="D33" s="20" t="str">
        <x:v>灵感与比较，不是路线规划</x:v>
      </x:c>
      <x:c r="E33" s="20" t="str">
        <x:v>决策阶段</x:v>
      </x:c>
      <x:c r="F33" s="26" t="n">
        <x:v>1</x:v>
      </x:c>
      <x:c r="G33" s="20" t="str">
        <x:v>先比较城市承诺，不直接输出逐日路书</x:v>
      </x:c>
      <x:c r="H33" s="20" t="str">
        <x:v>否</x:v>
      </x:c>
      <x:c r="I33" s="20" t="str">
        <x:v>是</x:v>
      </x:c>
      <x:c r="J33" s="20" t="str">
        <x:v>这次最想理解中国的哪一面？</x:v>
      </x:c>
      <x:c r="K33" s="20" t="str">
        <x:v>不能把城市列表当成个性化建议</x:v>
      </x:c>
    </x:row>
    <x:row r="34" ht="58" customHeight="1">
      <x:c r="A34" s="20" t="str">
        <x:v>SG29</x:v>
      </x:c>
      <x:c r="B34" s="20" t="str">
        <x:v>连续询问价格、取消、付款</x:v>
      </x:c>
      <x:c r="C34" s="20" t="str">
        <x:v>交易信号</x:v>
      </x:c>
      <x:c r="D34" s="20" t="str">
        <x:v>接近购买，需要确定性</x:v>
      </x:c>
      <x:c r="E34" s="20" t="str">
        <x:v>行为序列</x:v>
      </x:c>
      <x:c r="F34" s="26" t="n">
        <x:v>0.85</x:v>
      </x:c>
      <x:c r="G34" s="20" t="str">
        <x:v>切换到产品范围、人工校验和支付说明</x:v>
      </x:c>
      <x:c r="H34" s="20" t="str">
        <x:v>否</x:v>
      </x:c>
      <x:c r="I34" s="20" t="str">
        <x:v>否</x:v>
      </x:c>
      <x:c r="J34" s="20" t="str">
        <x:v>给出清晰下一步而不是继续泛聊灵感。</x:v>
      </x:c>
      <x:c r="K34" s="20" t="str">
        <x:v>不能继续用内容轰炸推迟成交</x:v>
      </x:c>
    </x:row>
    <x:row r="35" ht="58" customHeight="1">
      <x:c r="A35" s="21" t="str">
        <x:v>SG30</x:v>
      </x:c>
      <x:c r="B35" s="21" t="str">
        <x:v>多次修改日期/同伴/偏好</x:v>
      </x:c>
      <x:c r="C35" s="21" t="str">
        <x:v>状态变化</x:v>
      </x:c>
      <x:c r="D35" s="21" t="str">
        <x:v>需求仍在形成或多人决策</x:v>
      </x:c>
      <x:c r="E35" s="21" t="str">
        <x:v>对话行为</x:v>
      </x:c>
      <x:c r="F35" s="27" t="n">
        <x:v>0.8</x:v>
      </x:c>
      <x:c r="G35" s="21" t="str">
        <x:v>保留版本、标记冲突并重新确认关键字段</x:v>
      </x:c>
      <x:c r="H35" s="21" t="str">
        <x:v>否</x:v>
      </x:c>
      <x:c r="I35" s="21" t="str">
        <x:v>是</x:v>
      </x:c>
      <x:c r="J35" s="21" t="str">
        <x:v>我按最新的同行人和日期重排，可以吗？</x:v>
      </x:c>
      <x:c r="K35" s="21" t="str">
        <x:v>不能把旧信息和新信息混用</x:v>
      </x:c>
    </x:row>
  </x:sheetData>
  <x:mergeCells>
    <x:mergeCell ref="A1:K1"/>
    <x:mergeCell ref="A2:K2"/>
  </x:mergeCells>
  <x:conditionalFormatting sqref="F6:F35">
    <x:cfRule type="colorScale" priority="1">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a7dfc5d8762a44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5" hidden="0" customWidth="1"/>
    <x:col min="4" max="4" width="35" hidden="0" customWidth="1"/>
    <x:col min="5" max="5" width="43" hidden="0" customWidth="1"/>
    <x:col min="6" max="6" width="16" hidden="0" customWidth="1"/>
    <x:col min="7" max="7" width="29" hidden="0" customWidth="1"/>
    <x:col min="8" max="8" width="24" hidden="0" customWidth="1"/>
  </x:cols>
  <x:sheetData>
    <x:row r="1" ht="32" customHeight="1">
      <x:c r="A1" s="3" t="str">
        <x:v>追问规则｜每轮只问最值钱的1—2个问题</x:v>
      </x:c>
      <x:c r="B1" s="3"/>
      <x:c r="C1" s="3"/>
      <x:c r="D1" s="3"/>
      <x:c r="E1" s="3"/>
      <x:c r="F1" s="3"/>
      <x:c r="G1" s="3"/>
      <x:c r="H1" s="3"/>
    </x:row>
    <x:row r="2" ht="30" customHeight="1">
      <x:c r="A2" s="7" t="str">
        <x:v>追问不是把表单扔给客户，而是优先消除会改变路线、安全或收费承诺的不确定性。已经回答过的问题不得重复。</x:v>
      </x:c>
      <x:c r="B2" s="7"/>
      <x:c r="C2" s="7"/>
      <x:c r="D2" s="7"/>
      <x:c r="E2" s="7"/>
      <x:c r="F2" s="7"/>
      <x:c r="G2" s="7"/>
      <x:c r="H2" s="7"/>
    </x:row>
    <x:row r="5" ht="34" customHeight="1">
      <x:c r="A5" s="11" t="str">
        <x:v>优先级</x:v>
      </x:c>
      <x:c r="B5" s="11" t="str">
        <x:v>追问主题</x:v>
      </x:c>
      <x:c r="C5" s="11" t="str">
        <x:v>触发条件</x:v>
      </x:c>
      <x:c r="D5" s="11" t="str">
        <x:v>为什么必须问</x:v>
      </x:c>
      <x:c r="E5" s="11" t="str">
        <x:v>自然语言问题</x:v>
      </x:c>
      <x:c r="F5" s="11" t="str">
        <x:v>阻断级别</x:v>
      </x:c>
      <x:c r="G5" s="11" t="str">
        <x:v>何时不问</x:v>
      </x:c>
      <x:c r="H5" s="11" t="str">
        <x:v>影响的决策</x:v>
      </x:c>
    </x:row>
    <x:row r="6" ht="58" customHeight="1">
      <x:c r="A6" s="22" t="n">
        <x:v>1</x:v>
      </x:c>
      <x:c r="B6" s="19" t="str">
        <x:v>安全/行动能力</x:v>
      </x:c>
      <x:c r="C6" s="19" t="str">
        <x:v>体力只来自年龄、同行关系或模糊表达</x:v>
      </x:c>
      <x:c r="D6" s="19" t="str">
        <x:v>会改变长台阶、夜间和跨区安排</x:v>
      </x:c>
      <x:c r="E6" s="19" t="str">
        <x:v>每天大约能连续走多久？连续台阶或膝关节有没有限制？</x:v>
      </x:c>
      <x:c r="F6" s="19" t="str">
        <x:v>阻断高体力模块</x:v>
      </x:c>
      <x:c r="G6" s="19" t="str">
        <x:v>客户已经明确给出可量化能力</x:v>
      </x:c>
      <x:c r="H6" s="19" t="str">
        <x:v>体力与步道过滤</x:v>
      </x:c>
    </x:row>
    <x:row r="7" ht="58" customHeight="1">
      <x:c r="A7" s="23" t="n">
        <x:v>2</x:v>
      </x:c>
      <x:c r="B7" s="20" t="str">
        <x:v>过敏/医疗</x:v>
      </x:c>
      <x:c r="C7" s="20" t="str">
        <x:v>客户提到过敏、疾病、孕期或药物</x:v>
      </x:c>
      <x:c r="D7" s="20" t="str">
        <x:v>涉及安全和供应商责任</x:v>
      </x:c>
      <x:c r="E7" s="20" t="str">
        <x:v>有哪些必须避开的食材、活动或环境？严重程度和应急要求是什么？</x:v>
      </x:c>
      <x:c r="F7" s="20" t="str">
        <x:v>阻断相关收费体验</x:v>
      </x:c>
      <x:c r="G7" s="20" t="str">
        <x:v>从未讨论饮食或相关活动</x:v>
      </x:c>
      <x:c r="H7" s="20" t="str">
        <x:v>饮食与活动安全</x:v>
      </x:c>
    </x:row>
    <x:row r="8" ht="58" customHeight="1">
      <x:c r="A8" s="23" t="n">
        <x:v>3</x:v>
      </x:c>
      <x:c r="B8" s="20" t="str">
        <x:v>抵离时间</x:v>
      </x:c>
      <x:c r="C8" s="20" t="str">
        <x:v>只知道住几晚，不知道可用时段</x:v>
      </x:c>
      <x:c r="D8" s="20" t="str">
        <x:v>决定每天是否为完整日</x:v>
      </x:c>
      <x:c r="E8" s="20" t="str">
        <x:v>您哪天几点能从酒店出发，最后一天几点必须离开？</x:v>
      </x:c>
      <x:c r="F8" s="20" t="str">
        <x:v>阻断逐日承诺</x:v>
      </x:c>
      <x:c r="G8" s="20" t="str">
        <x:v>客户已提供酒店出发时间</x:v>
      </x:c>
      <x:c r="H8" s="20" t="str">
        <x:v>有效旅行时长</x:v>
      </x:c>
    </x:row>
    <x:row r="9" ht="58" customHeight="1">
      <x:c r="A9" s="23" t="n">
        <x:v>4</x:v>
      </x:c>
      <x:c r="B9" s="20" t="str">
        <x:v>同行构成</x:v>
      </x:c>
      <x:c r="C9" s="20" t="str">
        <x:v>只说“我们”或多人同行</x:v>
      </x:c>
      <x:c r="D9" s="20" t="str">
        <x:v>可能存在儿童、长辈和偏好冲突</x:v>
      </x:c>
      <x:c r="E9" s="20" t="str">
        <x:v>同行几位？是否有儿童或长辈，以及必须照顾的节奏？</x:v>
      </x:c>
      <x:c r="F9" s="20" t="str">
        <x:v>重要</x:v>
      </x:c>
      <x:c r="G9" s="20" t="str">
        <x:v>独行且已明确</x:v>
      </x:c>
      <x:c r="H9" s="20" t="str">
        <x:v>节奏和车辆需求</x:v>
      </x:c>
    </x:row>
    <x:row r="10" ht="58" customHeight="1">
      <x:c r="A10" s="23" t="n">
        <x:v>5</x:v>
      </x:c>
      <x:c r="B10" s="20" t="str">
        <x:v>不可妥协项</x:v>
      </x:c>
      <x:c r="C10" s="20" t="str">
        <x:v>偏好很多但没有优先级</x:v>
      </x:c>
      <x:c r="D10" s="20" t="str">
        <x:v>短行程必须做取舍</x:v>
      </x:c>
      <x:c r="E10" s="20" t="str">
        <x:v>如果只能保证一件事，您最不想错过什么？</x:v>
      </x:c>
      <x:c r="F10" s="20" t="str">
        <x:v>重要</x:v>
      </x:c>
      <x:c r="G10" s="20" t="str">
        <x:v>只有一个明确目标</x:v>
      </x:c>
      <x:c r="H10" s="20" t="str">
        <x:v>主叙事选择</x:v>
      </x:c>
    </x:row>
    <x:row r="11" ht="58" customHeight="1">
      <x:c r="A11" s="23" t="n">
        <x:v>6</x:v>
      </x:c>
      <x:c r="B11" s="20" t="str">
        <x:v>明确排除</x:v>
      </x:c>
      <x:c r="C11" s="20" t="str">
        <x:v>出现“不想”“不要”但范围模糊</x:v>
      </x:c>
      <x:c r="D11" s="20" t="str">
        <x:v>避免误删或误保留经典模块</x:v>
      </x:c>
      <x:c r="E11" s="20" t="str">
        <x:v>您排斥的是拥挤、商业化，还是景点本身？</x:v>
      </x:c>
      <x:c r="F11" s="20" t="str">
        <x:v>重要</x:v>
      </x:c>
      <x:c r="G11" s="20" t="str">
        <x:v>排除对象非常明确</x:v>
      </x:c>
      <x:c r="H11" s="20" t="str">
        <x:v>删除规则</x:v>
      </x:c>
    </x:row>
    <x:row r="12" ht="58" customHeight="1">
      <x:c r="A12" s="23" t="n">
        <x:v>7</x:v>
      </x:c>
      <x:c r="B12" s="20" t="str">
        <x:v>住宿锚点</x:v>
      </x:c>
      <x:c r="C12" s="20" t="str">
        <x:v>未给酒店区域</x:v>
      </x:c>
      <x:c r="D12" s="20" t="str">
        <x:v>影响跨区成本和早晚安排</x:v>
      </x:c>
      <x:c r="E12" s="20" t="str">
        <x:v>酒店大概在哪个区域？已经预订了吗？</x:v>
      </x:c>
      <x:c r="F12" s="20" t="str">
        <x:v>重要</x:v>
      </x:c>
      <x:c r="G12" s="20" t="str">
        <x:v>仍处灵感阶段</x:v>
      </x:c>
      <x:c r="H12" s="20" t="str">
        <x:v>地理排序</x:v>
      </x:c>
    </x:row>
    <x:row r="13" ht="58" customHeight="1">
      <x:c r="A13" s="23" t="n">
        <x:v>8</x:v>
      </x:c>
      <x:c r="B13" s="20" t="str">
        <x:v>预算方式</x:v>
      </x:c>
      <x:c r="C13" s="20" t="str">
        <x:v>只说贵/便宜/预算不限</x:v>
      </x:c>
      <x:c r="D13" s="20" t="str">
        <x:v>价格语言含义不清</x:v>
      </x:c>
      <x:c r="E13" s="20" t="str">
        <x:v>您更愿意为省时间、专业讲解还是独家体验付费？</x:v>
      </x:c>
      <x:c r="F13" s="20" t="str">
        <x:v>非阻断</x:v>
      </x:c>
      <x:c r="G13" s="20" t="str">
        <x:v>仅生成免费灵感方案</x:v>
      </x:c>
      <x:c r="H13" s="20" t="str">
        <x:v>付费产品匹配</x:v>
      </x:c>
    </x:row>
    <x:row r="14" ht="58" customHeight="1">
      <x:c r="A14" s="23" t="n">
        <x:v>9</x:v>
      </x:c>
      <x:c r="B14" s="20" t="str">
        <x:v>语言与工具</x:v>
      </x:c>
      <x:c r="C14" s="20" t="str">
        <x:v>中文能力、支付和地图工具未知</x:v>
      </x:c>
      <x:c r="D14" s="20" t="str">
        <x:v>影响独立执行度</x:v>
      </x:c>
      <x:c r="E14" s="20" t="str">
        <x:v>中文、翻译应用、中国支付和地图工具的使用情况怎样？</x:v>
      </x:c>
      <x:c r="F14" s="20" t="str">
        <x:v>重要</x:v>
      </x:c>
      <x:c r="G14" s="20" t="str">
        <x:v>有全程人工陪同</x:v>
      </x:c>
      <x:c r="H14" s="20" t="str">
        <x:v>摩擦与人工服务</x:v>
      </x:c>
    </x:row>
    <x:row r="15" ht="58" customHeight="1">
      <x:c r="A15" s="23" t="n">
        <x:v>10</x:v>
      </x:c>
      <x:c r="B15" s="20" t="str">
        <x:v>拍摄用途</x:v>
      </x:c>
      <x:c r="C15" s="20" t="str">
        <x:v>提到视频、无人机、商业摄影</x:v>
      </x:c>
      <x:c r="D15" s="20" t="str">
        <x:v>涉及许可、版权和场地规则</x:v>
      </x:c>
      <x:c r="E15" s="20" t="str">
        <x:v>拍摄是个人分享还是商业用途？设备和团队规模是多少？</x:v>
      </x:c>
      <x:c r="F15" s="20" t="str">
        <x:v>阻断相关拍摄承诺</x:v>
      </x:c>
      <x:c r="G15" s="20" t="str">
        <x:v>仅手机个人留念</x:v>
      </x:c>
      <x:c r="H15" s="20" t="str">
        <x:v>拍摄许可</x:v>
      </x:c>
    </x:row>
    <x:row r="16" ht="58" customHeight="1">
      <x:c r="A16" s="23" t="n">
        <x:v>11</x:v>
      </x:c>
      <x:c r="B16" s="20" t="str">
        <x:v>社交边界</x:v>
      </x:c>
      <x:c r="C16" s="20" t="str">
        <x:v>想见当地人或进社区</x:v>
      </x:c>
      <x:c r="D16" s="20" t="str">
        <x:v>涉及隐私和伦理</x:v>
      </x:c>
      <x:c r="E16" s="20" t="str">
        <x:v>您更喜欢自然观察，还是经过安排和同意的交流？</x:v>
      </x:c>
      <x:c r="F16" s="20" t="str">
        <x:v>阻断私域承诺</x:v>
      </x:c>
      <x:c r="G16" s="20" t="str">
        <x:v>只选择公共活动</x:v>
      </x:c>
      <x:c r="H16" s="20" t="str">
        <x:v>社区与专家体验</x:v>
      </x:c>
    </x:row>
    <x:row r="17" ht="58" customHeight="1">
      <x:c r="A17" s="23" t="n">
        <x:v>12</x:v>
      </x:c>
      <x:c r="B17" s="20" t="str">
        <x:v>舒适与冒险</x:v>
      </x:c>
      <x:c r="C17" s="20" t="str">
        <x:v>既要小众又担心安全/确定性</x:v>
      </x:c>
      <x:c r="D17" s="20" t="str">
        <x:v>目标冲突</x:v>
      </x:c>
      <x:c r="E17" s="20" t="str">
        <x:v>您更愿意牺牲一点便利，还是牺牲一点独特性？</x:v>
      </x:c>
      <x:c r="F17" s="20" t="str">
        <x:v>重要</x:v>
      </x:c>
      <x:c r="G17" s="20" t="str">
        <x:v>目标没有冲突</x:v>
      </x:c>
      <x:c r="H17" s="20" t="str">
        <x:v>路线风险预算</x:v>
      </x:c>
    </x:row>
    <x:row r="18" ht="58" customHeight="1">
      <x:c r="A18" s="23" t="n">
        <x:v>13</x:v>
      </x:c>
      <x:c r="B18" s="20" t="str">
        <x:v>儿童年龄</x:v>
      </x:c>
      <x:c r="C18" s="20" t="str">
        <x:v>亲子但年龄未知</x:v>
      </x:c>
      <x:c r="D18" s="20" t="str">
        <x:v>场馆时长和内容差异很大</x:v>
      </x:c>
      <x:c r="E18" s="20" t="str">
        <x:v>孩子多大？最能持续投入的活动是什么？</x:v>
      </x:c>
      <x:c r="F18" s="20" t="str">
        <x:v>重要</x:v>
      </x:c>
      <x:c r="G18" s="20" t="str">
        <x:v>非亲子</x:v>
      </x:c>
      <x:c r="H18" s="20" t="str">
        <x:v>亲子教育匹配</x:v>
      </x:c>
    </x:row>
    <x:row r="19" ht="58" customHeight="1">
      <x:c r="A19" s="23" t="n">
        <x:v>14</x:v>
      </x:c>
      <x:c r="B19" s="20" t="str">
        <x:v>成交准备度</x:v>
      </x:c>
      <x:c r="C19" s="20" t="str">
        <x:v>持续询价但没有产品边界</x:v>
      </x:c>
      <x:c r="D19" s="20" t="str">
        <x:v>需要切换到商业承接</x:v>
      </x:c>
      <x:c r="E19" s="20" t="str">
        <x:v>需要我先给您可执行路书，还是连同人工核验和预约一起报价？</x:v>
      </x:c>
      <x:c r="F19" s="20" t="str">
        <x:v>非阻断</x:v>
      </x:c>
      <x:c r="G19" s="20" t="str">
        <x:v>仍在城市灵感阶段</x:v>
      </x:c>
      <x:c r="H19" s="20" t="str">
        <x:v>免费/付费分流</x:v>
      </x:c>
    </x:row>
    <x:row r="20" ht="58" customHeight="1">
      <x:c r="A20" s="24" t="n">
        <x:v>15</x:v>
      </x:c>
      <x:c r="B20" s="21" t="str">
        <x:v>版本冲突</x:v>
      </x:c>
      <x:c r="C20" s="21" t="str">
        <x:v>新信息与旧信息冲突</x:v>
      </x:c>
      <x:c r="D20" s="21" t="str">
        <x:v>会造成错误路线</x:v>
      </x:c>
      <x:c r="E20" s="21" t="str">
        <x:v>我按您刚才更新的日期、同行人和体力重排，旧版本作废，可以吗？</x:v>
      </x:c>
      <x:c r="F20" s="21" t="str">
        <x:v>阻断发布</x:v>
      </x:c>
      <x:c r="G20" s="21" t="str">
        <x:v>没有状态变化</x:v>
      </x:c>
      <x:c r="H20" s="21" t="str">
        <x:v>会话状态管理</x:v>
      </x:c>
    </x:row>
  </x:sheetData>
  <x:mergeCells>
    <x:mergeCell ref="A1:H1"/>
    <x:mergeCell ref="A2:H2"/>
  </x:mergeCells>
  <x:pageMargins left="0.7" right="0.7" top="0.75" bottom="0.75" header="0.3" footer="0.3"/>
  <x:tableParts count="1">
    <x:tablePart xmlns:r="http://schemas.openxmlformats.org/officeDocument/2006/relationships" r:id="R1ef4c11f998f46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47" hidden="0" customWidth="1"/>
    <x:col min="4" max="4" width="43" hidden="0" customWidth="1"/>
    <x:col min="5" max="5" width="25" hidden="0" customWidth="1"/>
  </x:cols>
  <x:sheetData>
    <x:row r="1" ht="32" customHeight="1">
      <x:c r="A1" s="3" t="str">
        <x:v>智能体调用协议｜从一句话到可出售路书</x:v>
      </x:c>
      <x:c r="B1" s="3"/>
      <x:c r="C1" s="3"/>
      <x:c r="D1" s="3"/>
      <x:c r="E1" s="3"/>
    </x:row>
    <x:row r="2" ht="30" customHeight="1">
      <x:c r="A2" s="7" t="str">
        <x:v>智能体不是直接从聊天生成答案，而是先建立可审计的旅行者状态，再检索、过滤、去重和装配。数据库提供决策依据，人工校验负责最终履约。</x:v>
      </x:c>
      <x:c r="B2" s="7"/>
      <x:c r="C2" s="7"/>
      <x:c r="D2" s="7"/>
      <x:c r="E2" s="7"/>
    </x:row>
    <x:row r="5" ht="34" customHeight="1">
      <x:c r="A5" s="11" t="str">
        <x:v>步骤</x:v>
      </x:c>
      <x:c r="B5" s="11" t="str">
        <x:v>智能体动作</x:v>
      </x:c>
      <x:c r="C5" s="11" t="str">
        <x:v>结构化字段</x:v>
      </x:c>
      <x:c r="D5" s="11" t="str">
        <x:v>硬规则</x:v>
      </x:c>
      <x:c r="E5" s="11" t="str">
        <x:v>阶段输出</x:v>
      </x:c>
    </x:row>
    <x:row r="6" ht="62" customHeight="1">
      <x:c r="A6" s="19" t="str">
        <x:v>01 倾听</x:v>
      </x:c>
      <x:c r="B6" s="19" t="str">
        <x:v>保存客户原话</x:v>
      </x:c>
      <x:c r="C6" s="19" t="str">
        <x:v>conversation_text、消息时间、语言、会话阶段</x:v>
      </x:c>
      <x:c r="D6" s="19" t="str">
        <x:v>不改写原话；新信息保留版本</x:v>
      </x:c>
      <x:c r="E6" s="19" t="str">
        <x:v>原始会话记录</x:v>
      </x:c>
    </x:row>
    <x:row r="7" ht="62" customHeight="1">
      <x:c r="A7" s="20" t="str">
        <x:v>02 提取显性事实</x:v>
      </x:c>
      <x:c r="B7" s="20" t="str">
        <x:v>只提客户明确说出的日期、人数、地点、预算、限制</x:v>
      </x:c>
      <x:c r="C7" s="20" t="str">
        <x:v>value、evidence_quote、source=explicit、confidence=1</x:v>
      </x:c>
      <x:c r="D7" s="20" t="str">
        <x:v>没有原话证据就不能标为显性</x:v>
      </x:c>
      <x:c r="E7" s="20" t="str">
        <x:v>explicit_facts[]</x:v>
      </x:c>
    </x:row>
    <x:row r="8" ht="62" customHeight="1">
      <x:c r="A8" s="20" t="str">
        <x:v>03 形成潜意图</x:v>
      </x:c>
      <x:c r="B8" s="20" t="str">
        <x:v>从目标、情绪、身份、取舍和行为序列推断需要</x:v>
      </x:c>
      <x:c r="C8" s="20" t="str">
        <x:v>need、evidence_quote、confidence、allowed_effect、needs_confirmation</x:v>
      </x:c>
      <x:c r="D8" s="20" t="str">
        <x:v>置信度低于0.50只能生成追问；不能影响路线排序</x:v>
      </x:c>
      <x:c r="E8" s="20" t="str">
        <x:v>latent_needs[]</x:v>
      </x:c>
    </x:row>
    <x:row r="9" ht="62" customHeight="1">
      <x:c r="A9" s="20" t="str">
        <x:v>04 处理冲突</x:v>
      </x:c>
      <x:c r="B9" s="20" t="str">
        <x:v>比较最新消息、硬约束与早期偏好</x:v>
      </x:c>
      <x:c r="C9" s="20" t="str">
        <x:v>active、superseded_by、conflict_reason</x:v>
      </x:c>
      <x:c r="D9" s="20" t="str">
        <x:v>最新明确事实覆盖旧事实；安全约束优先于偏好</x:v>
      </x:c>
      <x:c r="E9" s="20" t="str">
        <x:v>state_changes[]</x:v>
      </x:c>
    </x:row>
    <x:row r="10" ht="62" customHeight="1">
      <x:c r="A10" s="20" t="str">
        <x:v>05 决定追问</x:v>
      </x:c>
      <x:c r="B10" s="20" t="str">
        <x:v>从追问规则选最高价值问题</x:v>
      </x:c>
      <x:c r="C10" s="20" t="str">
        <x:v>question、reason、decision_changed</x:v>
      </x:c>
      <x:c r="D10" s="20" t="str">
        <x:v>每轮最多2个；不问已经回答的内容</x:v>
      </x:c>
      <x:c r="E10" s="20" t="str">
        <x:v>follow_up_questions[]</x:v>
      </x:c>
    </x:row>
    <x:row r="11" ht="62" customHeight="1">
      <x:c r="A11" s="20" t="str">
        <x:v>06 检索过滤</x:v>
      </x:c>
      <x:c r="B11" s="20" t="str">
        <x:v>先过滤不安全、不可履约和不适配模块</x:v>
      </x:c>
      <x:c r="C11" s="20" t="str">
        <x:v>hard_filters、candidate_module_ids</x:v>
      </x:c>
      <x:c r="D11" s="20" t="str">
        <x:v>未核验体验不能作为确定收费承诺</x:v>
      </x:c>
      <x:c r="E11" s="20" t="str">
        <x:v>eligible_modules[]</x:v>
      </x:c>
    </x:row>
    <x:row r="12" ht="62" customHeight="1">
      <x:c r="A12" s="20" t="str">
        <x:v>07 意图排序</x:v>
      </x:c>
      <x:c r="B12" s="20" t="str">
        <x:v>用画像分＋八个意图维度＋体力天气修正排序</x:v>
      </x:c>
      <x:c r="C12" s="20" t="str">
        <x:v>score_breakdown、confidence_used</x:v>
      </x:c>
      <x:c r="D12" s="20" t="str">
        <x:v>低置信推断不得提高或降低模块</x:v>
      </x:c>
      <x:c r="E12" s="20" t="str">
        <x:v>ranked_modules[]</x:v>
      </x:c>
    </x:row>
    <x:row r="13" ht="62" customHeight="1">
      <x:c r="A13" s="20" t="str">
        <x:v>08 去重装配</x:v>
      </x:c>
      <x:c r="B13" s="20" t="str">
        <x:v>按天选2—4个模块并执行夜景、老街、场馆去重</x:v>
      </x:c>
      <x:c r="C13" s="20" t="str">
        <x:v>day_theme、modules、removed_duplicates</x:v>
      </x:c>
      <x:c r="D13" s="20" t="str">
        <x:v>一天一个主叙事；不是排名前几名直接堆在一起</x:v>
      </x:c>
      <x:c r="E13" s="20" t="str">
        <x:v>roadbook_days[]</x:v>
      </x:c>
    </x:row>
    <x:row r="14" ht="62" customHeight="1">
      <x:c r="A14" s="20" t="str">
        <x:v>09 对客表达</x:v>
      </x:c>
      <x:c r="B14" s="20" t="str">
        <x:v>只输出承诺、核心解释、观察任务和一个现实提醒</x:v>
      </x:c>
      <x:c r="C14" s="20" t="str">
        <x:v>why_this_fits、module_story、practical_note</x:v>
      </x:c>
      <x:c r="D14" s="20" t="str">
        <x:v>不得暴露内部评分、画像标签或未经确认的推断</x:v>
      </x:c>
      <x:c r="E14" s="20" t="str">
        <x:v>traveler_roadbook</x:v>
      </x:c>
    </x:row>
    <x:row r="15" ht="62" customHeight="1">
      <x:c r="A15" s="20" t="str">
        <x:v>10 商业承接</x:v>
      </x:c>
      <x:c r="B15" s="20" t="str">
        <x:v>识别是否需要人工校验、专家、预约或报价</x:v>
      </x:c>
      <x:c r="C15" s="20" t="str">
        <x:v>service_level、handoff_reason、booking_state</x:v>
      </x:c>
      <x:c r="D15" s="20" t="str">
        <x:v>客户询价或高风险需求时给明确下一步</x:v>
      </x:c>
      <x:c r="E15" s="20" t="str">
        <x:v>commercial_handoff</x:v>
      </x:c>
    </x:row>
    <x:row r="16" ht="62" customHeight="1">
      <x:c r="A16" s="21" t="str">
        <x:v>11 发布前复核</x:v>
      </x:c>
      <x:c r="B16" s="21" t="str">
        <x:v>复核动态开放、天气、施工、排期和供应商</x:v>
      </x:c>
      <x:c r="C16" s="21" t="str">
        <x:v>verified_at、verified_by、fallback</x:v>
      </x:c>
      <x:c r="D16" s="21" t="str">
        <x:v>没有复核就使用条件句或替代方案</x:v>
      </x:c>
      <x:c r="E16" s="21" t="str">
        <x:v>release_check</x:v>
      </x:c>
    </x:row>
  </x:sheetData>
  <x:mergeCells>
    <x:mergeCell ref="A1:E1"/>
    <x:mergeCell ref="A2:E2"/>
  </x:mergeCells>
  <x:pageMargins left="0.7" right="0.7" top="0.75" bottom="0.75" header="0.3" footer="0.3"/>
  <x:tableParts count="1">
    <x:tablePart xmlns:r="http://schemas.openxmlformats.org/officeDocument/2006/relationships" r:id="R4dc381e7a76441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24" hidden="0" customWidth="1"/>
    <x:col min="4" max="4" width="28" hidden="0" customWidth="1"/>
    <x:col min="5" max="5" width="36" hidden="0" customWidth="1"/>
    <x:col min="6" max="6" width="34" hidden="0" customWidth="1"/>
    <x:col min="7" max="7" width="36" hidden="0" customWidth="1"/>
    <x:col min="8" max="8" width="32" hidden="0" customWidth="1"/>
    <x:col min="9" max="9" width="12" hidden="0" customWidth="1"/>
    <x:col min="10" max="10" width="34" hidden="0" customWidth="1"/>
  </x:cols>
  <x:sheetData>
    <x:row r="1" ht="32" customHeight="1">
      <x:c r="A1" s="3" t="str">
        <x:v>游客输出器｜从客户对话生成有重点的路书</x:v>
      </x:c>
      <x:c r="B1" s="3"/>
      <x:c r="C1" s="3"/>
      <x:c r="D1" s="3"/>
      <x:c r="E1" s="3"/>
      <x:c r="F1" s="3"/>
      <x:c r="G1" s="3"/>
      <x:c r="H1" s="3"/>
      <x:c r="I1" s="3"/>
      <x:c r="J1" s="3"/>
    </x:row>
    <x:row r="2" ht="30" customHeight="1">
      <x:c r="A2" s="7" t="str">
        <x:v>本页由“智能体会话输入”驱动。每一天独立选择2—4个模块，并说明为什么适合这位客户；不向客户暴露内部画像、分数和推断过程。</x:v>
      </x:c>
      <x:c r="B2" s="7"/>
      <x:c r="C2" s="7"/>
      <x:c r="D2" s="7"/>
      <x:c r="E2" s="7"/>
      <x:c r="F2" s="7"/>
      <x:c r="G2" s="7"/>
      <x:c r="H2" s="7"/>
      <x:c r="I2" s="7"/>
      <x:c r="J2" s="7"/>
    </x:row>
    <x:row r="4" ht="29" customHeight="1">
      <x:c r="A4" s="95" t="str">
        <x:v>行程天数</x:v>
      </x:c>
      <x:c r="B4" s="98" t="n">
        <x:f>'智能体会话输入'!B12</x:f>
        <x:v>3</x:v>
      </x:c>
      <x:c r="C4" s="101" t="str">
        <x:v>由客户明确可用的完整天数决定</x:v>
      </x:c>
      <x:c r="D4" s="101"/>
      <x:c r="E4" s="101"/>
      <x:c r="F4" s="101"/>
      <x:c r="G4" s="101"/>
      <x:c r="H4" s="101"/>
      <x:c r="I4" s="101"/>
      <x:c r="J4" s="101"/>
    </x:row>
    <x:row r="5" ht="29" customHeight="1">
      <x:c r="A5" s="95" t="str">
        <x:v>客群</x:v>
      </x:c>
      <x:c r="B5" s="98" t="str">
        <x:f>'智能体会话输入'!B13</x:f>
        <x:v>首次经典</x:v>
      </x:c>
      <x:c r="C5" s="101" t="str">
        <x:v>画像只是基础分，八个潜意图维度会继续修正</x:v>
      </x:c>
      <x:c r="D5" s="101"/>
      <x:c r="E5" s="101"/>
      <x:c r="F5" s="101"/>
      <x:c r="G5" s="101"/>
      <x:c r="H5" s="101"/>
      <x:c r="I5" s="101"/>
      <x:c r="J5" s="101"/>
    </x:row>
    <x:row r="6" ht="29" customHeight="1">
      <x:c r="A6" s="95" t="str">
        <x:v>体力</x:v>
      </x:c>
      <x:c r="B6" s="98" t="str">
        <x:f>'智能体会话输入'!B15</x:f>
        <x:v>低</x:v>
      </x:c>
      <x:c r="C6" s="101" t="str">
        <x:v>只有确认后的体力信息才能作为硬过滤</x:v>
      </x:c>
      <x:c r="D6" s="101"/>
      <x:c r="E6" s="101"/>
      <x:c r="F6" s="101"/>
      <x:c r="G6" s="101"/>
      <x:c r="H6" s="101"/>
      <x:c r="I6" s="101"/>
      <x:c r="J6" s="101"/>
    </x:row>
    <x:row r="7" ht="29" customHeight="1">
      <x:c r="A7" s="95" t="str">
        <x:v>天气/条件</x:v>
      </x:c>
      <x:c r="B7" s="98" t="str">
        <x:f>'智能体会话输入'!B16</x:f>
        <x:v>正常</x:v>
      </x:c>
      <x:c r="C7" s="101" t="str">
        <x:v>天气和动态运营信息发布前必须再次复核</x:v>
      </x:c>
      <x:c r="D7" s="101"/>
      <x:c r="E7" s="101"/>
      <x:c r="F7" s="101"/>
      <x:c r="G7" s="101"/>
      <x:c r="H7" s="101"/>
      <x:c r="I7" s="101"/>
      <x:c r="J7" s="101"/>
    </x:row>
    <x:row r="8" ht="29" customHeight="1">
      <x:c r="A8" s="95" t="str">
        <x:v>第4天版本</x:v>
      </x:c>
      <x:c r="B8" s="98" t="str">
        <x:f>'智能体会话输入'!B17</x:f>
        <x:v>开埠徒步</x:v>
      </x:c>
      <x:c r="C8" s="101" t="str">
        <x:v>只有4天行程时生效</x:v>
      </x:c>
      <x:c r="D8" s="101"/>
      <x:c r="E8" s="101"/>
      <x:c r="F8" s="101"/>
      <x:c r="G8" s="101"/>
      <x:c r="H8" s="101"/>
      <x:c r="I8" s="101"/>
      <x:c r="J8" s="101"/>
    </x:row>
    <x:row r="9" ht="29" customHeight="1">
      <x:c r="A9" s="95" t="str">
        <x:v>输出长度</x:v>
      </x:c>
      <x:c r="B9" s="98" t="str">
        <x:f>'智能体会话输入'!B18</x:f>
        <x:v>标准</x:v>
      </x:c>
      <x:c r="C9" s="101" t="str">
        <x:v>精简2个/天；标准3个/天；深度4个/天</x:v>
      </x:c>
      <x:c r="D9" s="101"/>
      <x:c r="E9" s="101"/>
      <x:c r="F9" s="101"/>
      <x:c r="G9" s="101"/>
      <x:c r="H9" s="101"/>
      <x:c r="I9" s="101"/>
      <x:c r="J9" s="101"/>
    </x:row>
    <x:row r="11" ht="36" customHeight="1">
      <x:c r="A11" s="48" t="str">
        <x:v>每日模块预算</x:v>
      </x:c>
      <x:c r="B11" s="48" t="n">
        <x:f>IF(B9="精简",2,IF(B9="标准",3,4))</x:f>
        <x:v>3</x:v>
      </x:c>
      <x:c r="C11" s="48" t="str">
        <x:v>旅行承诺</x:v>
      </x:c>
      <x:c r="D11" s="104" t="str">
        <x:f>IF(B5="首次经典","用三天看懂重庆为什么像科幻、又怎样真实运转。",IF(B5="赛博摄影","从多重地面、单轨和江岸夜景拍到真正不可替代的重庆。",IF(B5="文化历史","沿着移民、城门、抗战和开埠读懂重庆的世界联系。",IF(B5="美食生活","从小面、火锅、茶馆和夜生活进入重庆人的日常。",IF(B5="亲子轻松","用博物馆、轨道和低体力夜景轻松认识立体重庆。","跳过首访打卡，进入开埠、艺术、社区与工业重庆。")))))</x:f>
        <x:v>用三天看懂重庆为什么像科幻、又怎样真实运转。</x:v>
      </x:c>
      <x:c r="E11" s="104"/>
      <x:c r="F11" s="104"/>
      <x:c r="G11" s="104"/>
      <x:c r="H11" s="104"/>
      <x:c r="I11" s="104"/>
      <x:c r="J11" s="104"/>
    </x:row>
    <x:row r="14" ht="34" customHeight="1">
      <x:c r="A14" s="10" t="str">
        <x:v>天</x:v>
      </x:c>
      <x:c r="B14" s="10" t="str">
        <x:v>序号</x:v>
      </x:c>
      <x:c r="C14" s="10" t="str">
        <x:v>输出模块</x:v>
      </x:c>
      <x:c r="D14" s="10" t="str">
        <x:v>核心节点</x:v>
      </x:c>
      <x:c r="E14" s="10" t="str">
        <x:v>给游客的承诺</x:v>
      </x:c>
      <x:c r="F14" s="10" t="str">
        <x:v>为什么适合你</x:v>
      </x:c>
      <x:c r="G14" s="10" t="str">
        <x:v>只讲一个核心解释</x:v>
      </x:c>
      <x:c r="H14" s="10" t="str">
        <x:v>游客观察任务</x:v>
      </x:c>
      <x:c r="I14" s="10" t="str">
        <x:v>时长</x:v>
      </x:c>
      <x:c r="J14" s="10" t="str">
        <x:v>现实提醒</x:v>
      </x:c>
    </x:row>
    <x:row r="15" ht="68" customHeight="1">
      <x:c r="A15" s="108" t="str">
        <x:f>IF(AND(1&lt;=$B$11,OR("D1"&lt;&gt;"D4",$B$4=4),VALUE(RIGHT("D1",1))&lt;=$B$4),"D1","")</x:f>
        <x:v>D1</x:v>
      </x:c>
      <x:c r="B15" s="108" t="n">
        <x:f>IF(AND(1&lt;=$B$11,OR("D1"&lt;&gt;"D4",$B$4=4),VALUE(RIGHT("D1",1))&lt;=$B$4),1,"")</x:f>
        <x:v>1</x:v>
      </x:c>
      <x:c r="C15" s="108" t="str">
        <x:f>IF(AND(1&lt;=$B$11,OR("D1"&lt;&gt;"D4",$B$4=4),VALUE(RIGHT("D1",1))&lt;=$B$4),INDEX('路线模块库'!$D$6:$D$29,MATCH("D1-1",'匹配计算'!$L$6:$L$29,0)),"")</x:f>
        <x:v>多重地面实验</x:v>
      </x:c>
      <x:c r="D15" s="108" t="str">
        <x:f>IF(AND(1&lt;=$B$11,OR("D1"&lt;&gt;"D4",$B$4=4),VALUE(RIGHT("D1",1))&lt;=$B$4),INDEX('路线模块库'!$G$6:$G$29,MATCH("D1-1",'匹配计算'!$L$6:$L$29,0)),"")</x:f>
        <x:v>魁星楼与高差平台</x:v>
      </x:c>
      <x:c r="E15" s="108" t="str">
        <x:f>IF(AND(1&lt;=$B$11,OR("D1"&lt;&gt;"D4",$B$4=4),VALUE(RIGHT("D1",1))&lt;=$B$4),INDEX('路线模块库'!$H$6:$H$29,MATCH("D1-1",'匹配计算'!$L$6:$L$29,0)),"")</x:f>
        <x:v>亲自验证“22层也是地面”，这是重庆最有效的第一记忆点。</x:v>
      </x:c>
      <x:c r="F15" s="108" t="str">
        <x:f>IF(AND(1&lt;=$B$11,OR("D1"&lt;&gt;"D4",$B$4=4),VALUE(RIGHT("D1",1))&lt;=$B$4),IF(INDEX('匹配计算'!$W$6:$W$29,MATCH("D1-1",'匹配计算'!$L$6:$L$29,0))="视觉奇观","符合你想看到重庆不可替代立体城市感的目标。",IF(INDEX('匹配计算'!$W$6:$W$29,MATCH("D1-1",'匹配计算'!$L$6:$L$29,0))="历史理解","符合你想理解城市为何如此形成的目标。",IF(INDEX('匹配计算'!$W$6:$W$29,MATCH("D1-1",'匹配计算'!$L$6:$L$29,0))="在地生活","符合你不想只走网红打卡路线的偏好。",IF(INDEX('匹配计算'!$W$6:$W$29,MATCH("D1-1",'匹配计算'!$L$6:$L$29,0))="饮食互动","符合你希望通过饮食进入本地生活的偏好。",IF(INDEX('匹配计算'!$W$6:$W$29,MATCH("D1-1",'匹配计算'!$L$6:$L$29,0))="低摩擦","符合你重视节奏、少走冤枉路和确定性的需要。",IF(INDEX('匹配计算'!$W$6:$W$29,MATCH("D1-1",'匹配计算'!$L$6:$L$29,0))="摄影创作","符合你想获得更有内容的照片或视频素材的目标。",IF(INDEX('匹配计算'!$W$6:$W$29,MATCH("D1-1",'匹配计算'!$L$6:$L$29,0))="亲子教育","符合亲子共同观察和理解城市的需要。",IF(INDEX('匹配计算'!$W$6:$W$29,MATCH("D1-1",'匹配计算'!$L$6:$L$29,0))="复游新鲜感","符合你想避开重复经典、获得新鲜体验的需要。","符合本次行程的基础画像和城市主叙事。")))))))),"")</x:f>
        <x:v>符合你想看到重庆不可替代立体城市感的目标。</x:v>
      </x:c>
      <x:c r="G15" s="108" t="str">
        <x:f>IF(AND(1&lt;=$B$11,OR("D1"&lt;&gt;"D4",$B$4=4),VALUE(RIGHT("D1",1))&lt;=$B$4),INDEX('路线模块库'!$I$6:$I$29,MATCH("D1-1",'匹配计算'!$L$6:$L$29,0)),"")</x:f>
        <x:v>山地让城市拥有多个同时成立的地面。</x:v>
      </x:c>
      <x:c r="H15" s="108" t="str">
        <x:f>IF(AND(1&lt;=$B$11,OR("D1"&lt;&gt;"D4",$B$4=4),VALUE(RIGHT("D1",1))&lt;=$B$4),INDEX('路线模块库'!$J$6:$J$29,MATCH("D1-1",'匹配计算'!$L$6:$L$29,0)),"")</x:f>
        <x:v>先猜楼层，再换一个出口验证。</x:v>
      </x:c>
      <x:c r="I15" s="108" t="n">
        <x:f>IF(AND(1&lt;=$B$11,OR("D1"&lt;&gt;"D4",$B$4=4),VALUE(RIGHT("D1",1))&lt;=$B$4),INDEX('路线模块库'!$K$6:$K$29,MATCH("D1-1",'匹配计算'!$L$6:$L$29,0)),"")</x:f>
        <x:v>40</x:v>
      </x:c>
      <x:c r="J15" s="108" t="str">
        <x:f>IF(AND(1&lt;=$B$11,OR("D1"&lt;&gt;"D4",$B$4=4),VALUE(RIGHT("D1",1))&lt;=$B$4),INDEX('路线模块库'!$AN$6:$AN$29,MATCH("D1-1",'匹配计算'!$L$6:$L$29,0)),"")</x:f>
        <x:v>若有恐高请提前说明；现场不需要靠近边缘。</x:v>
      </x:c>
    </x:row>
    <x:row r="16" ht="68" customHeight="1">
      <x:c r="A16" s="108" t="str">
        <x:f>IF(AND(2&lt;=$B$11,OR("D1"&lt;&gt;"D4",$B$4=4),VALUE(RIGHT("D1",1))&lt;=$B$4),"D1","")</x:f>
        <x:v>D1</x:v>
      </x:c>
      <x:c r="B16" s="108" t="n">
        <x:f>IF(AND(2&lt;=$B$11,OR("D1"&lt;&gt;"D4",$B$4=4),VALUE(RIGHT("D1",1))&lt;=$B$4),2,"")</x:f>
        <x:v>2</x:v>
      </x:c>
      <x:c r="C16" s="108" t="str">
        <x:f>IF(AND(2&lt;=$B$11,OR("D1"&lt;&gt;"D4",$B$4=4),VALUE(RIGHT("D1",1))&lt;=$B$4),INDEX('路线模块库'!$D$6:$D$29,MATCH("D1-2",'匹配计算'!$L$6:$L$29,0)),"")</x:f>
        <x:v>夜景读图：不挤进洪崖洞</x:v>
      </x:c>
      <x:c r="D16" s="108" t="str">
        <x:f>IF(AND(2&lt;=$B$11,OR("D1"&lt;&gt;"D4",$B$4=4),VALUE(RIGHT("D1",1))&lt;=$B$4),INDEX('路线模块库'!$G$6:$G$29,MATCH("D1-2",'匹配计算'!$L$6:$L$29,0)),"")</x:f>
        <x:v>戴家巷—洪崖洞外观—大剧院江岸</x:v>
      </x:c>
      <x:c r="E16" s="108" t="str">
        <x:f>IF(AND(2&lt;=$B$11,OR("D1"&lt;&gt;"D4",$B$4=4),VALUE(RIGHT("D1",1))&lt;=$B$4),INDEX('路线模块库'!$H$6:$H$29,MATCH("D1-2",'匹配计算'!$L$6:$L$29,0)),"")</x:f>
        <x:v>从对岸把桥、江、崖、楼群和灯光读成一张城市剖面。</x:v>
      </x:c>
      <x:c r="F16" s="108" t="str">
        <x:f>IF(AND(2&lt;=$B$11,OR("D1"&lt;&gt;"D4",$B$4=4),VALUE(RIGHT("D1",1))&lt;=$B$4),IF(INDEX('匹配计算'!$W$6:$W$29,MATCH("D1-2",'匹配计算'!$L$6:$L$29,0))="视觉奇观","符合你想看到重庆不可替代立体城市感的目标。",IF(INDEX('匹配计算'!$W$6:$W$29,MATCH("D1-2",'匹配计算'!$L$6:$L$29,0))="历史理解","符合你想理解城市为何如此形成的目标。",IF(INDEX('匹配计算'!$W$6:$W$29,MATCH("D1-2",'匹配计算'!$L$6:$L$29,0))="在地生活","符合你不想只走网红打卡路线的偏好。",IF(INDEX('匹配计算'!$W$6:$W$29,MATCH("D1-2",'匹配计算'!$L$6:$L$29,0))="饮食互动","符合你希望通过饮食进入本地生活的偏好。",IF(INDEX('匹配计算'!$W$6:$W$29,MATCH("D1-2",'匹配计算'!$L$6:$L$29,0))="低摩擦","符合你重视节奏、少走冤枉路和确定性的需要。",IF(INDEX('匹配计算'!$W$6:$W$29,MATCH("D1-2",'匹配计算'!$L$6:$L$29,0))="摄影创作","符合你想获得更有内容的照片或视频素材的目标。",IF(INDEX('匹配计算'!$W$6:$W$29,MATCH("D1-2",'匹配计算'!$L$6:$L$29,0))="亲子教育","符合亲子共同观察和理解城市的需要。",IF(INDEX('匹配计算'!$W$6:$W$29,MATCH("D1-2",'匹配计算'!$L$6:$L$29,0))="复游新鲜感","符合你想避开重复经典、获得新鲜体验的需要。","符合本次行程的基础画像和城市主叙事。")))))))),"")</x:f>
        <x:v>符合你想看到重庆不可替代立体城市感的目标。</x:v>
      </x:c>
      <x:c r="G16" s="108" t="str">
        <x:f>IF(AND(2&lt;=$B$11,OR("D1"&lt;&gt;"D4",$B$4=4),VALUE(RIGHT("D1",1))&lt;=$B$4),INDEX('路线模块库'!$I$6:$I$29,MATCH("D1-2",'匹配计算'!$L$6:$L$29,0)),"")</x:f>
        <x:v>洪崖洞是视觉入口，不是必须逛完的内部商业综合体。</x:v>
      </x:c>
      <x:c r="H16" s="108" t="str">
        <x:f>IF(AND(2&lt;=$B$11,OR("D1"&lt;&gt;"D4",$B$4=4),VALUE(RIGHT("D1",1))&lt;=$B$4),INDEX('路线模块库'!$J$6:$J$29,MATCH("D1-2",'匹配计算'!$L$6:$L$29,0)),"")</x:f>
        <x:v>指出当天走过的山脊、江岸和桥。</x:v>
      </x:c>
      <x:c r="I16" s="108" t="n">
        <x:f>IF(AND(2&lt;=$B$11,OR("D1"&lt;&gt;"D4",$B$4=4),VALUE(RIGHT("D1",1))&lt;=$B$4),INDEX('路线模块库'!$K$6:$K$29,MATCH("D1-2",'匹配计算'!$L$6:$L$29,0)),"")</x:f>
        <x:v>150</x:v>
      </x:c>
      <x:c r="J16" s="108" t="str">
        <x:f>IF(AND(2&lt;=$B$11,OR("D1"&lt;&gt;"D4",$B$4=4),VALUE(RIGHT("D1",1))&lt;=$B$4),INDEX('路线模块库'!$AN$6:$AN$29,MATCH("D1-2",'匹配计算'!$L$6:$L$29,0)),"")</x:f>
        <x:v>夜间人流较大；灯光和无人机安排以当日官方信息为准。</x:v>
      </x:c>
    </x:row>
    <x:row r="17" ht="68" customHeight="1">
      <x:c r="A17" s="108" t="str">
        <x:f>IF(AND(3&lt;=$B$11,OR("D1"&lt;&gt;"D4",$B$4=4),VALUE(RIGHT("D1",1))&lt;=$B$4),"D1","")</x:f>
        <x:v>D1</x:v>
      </x:c>
      <x:c r="B17" s="108" t="n">
        <x:f>IF(AND(3&lt;=$B$11,OR("D1"&lt;&gt;"D4",$B$4=4),VALUE(RIGHT("D1",1))&lt;=$B$4),3,"")</x:f>
        <x:v>3</x:v>
      </x:c>
      <x:c r="C17" s="108" t="str">
        <x:f>IF(AND(3&lt;=$B$11,OR("D1"&lt;&gt;"D4",$B$4=4),VALUE(RIGHT("D1",1))&lt;=$B$4),INDEX('路线模块库'!$D$6:$D$29,MATCH("D1-3",'匹配计算'!$L$6:$L$29,0)),"")</x:f>
        <x:v>两江门户</x:v>
      </x:c>
      <x:c r="D17" s="108" t="str">
        <x:f>IF(AND(3&lt;=$B$11,OR("D1"&lt;&gt;"D4",$B$4=4),VALUE(RIGHT("D1",1))&lt;=$B$4),INDEX('路线模块库'!$G$6:$G$29,MATCH("D1-3",'匹配计算'!$L$6:$L$29,0)),"")</x:f>
        <x:v>朝天门—两江交汇</x:v>
      </x:c>
      <x:c r="E17" s="108" t="str">
        <x:f>IF(AND(3&lt;=$B$11,OR("D1"&lt;&gt;"D4",$B$4=4),VALUE(RIGHT("D1",1))&lt;=$B$4),INDEX('路线模块库'!$H$6:$H$29,MATCH("D1-3",'匹配计算'!$L$6:$L$29,0)),"")</x:f>
        <x:v>从城市门户和两江方向理解重庆为什么生长在这里。</x:v>
      </x:c>
      <x:c r="F17" s="108" t="str">
        <x:f>IF(AND(3&lt;=$B$11,OR("D1"&lt;&gt;"D4",$B$4=4),VALUE(RIGHT("D1",1))&lt;=$B$4),IF(INDEX('匹配计算'!$W$6:$W$29,MATCH("D1-3",'匹配计算'!$L$6:$L$29,0))="视觉奇观","符合你想看到重庆不可替代立体城市感的目标。",IF(INDEX('匹配计算'!$W$6:$W$29,MATCH("D1-3",'匹配计算'!$L$6:$L$29,0))="历史理解","符合你想理解城市为何如此形成的目标。",IF(INDEX('匹配计算'!$W$6:$W$29,MATCH("D1-3",'匹配计算'!$L$6:$L$29,0))="在地生活","符合你不想只走网红打卡路线的偏好。",IF(INDEX('匹配计算'!$W$6:$W$29,MATCH("D1-3",'匹配计算'!$L$6:$L$29,0))="饮食互动","符合你希望通过饮食进入本地生活的偏好。",IF(INDEX('匹配计算'!$W$6:$W$29,MATCH("D1-3",'匹配计算'!$L$6:$L$29,0))="低摩擦","符合你重视节奏、少走冤枉路和确定性的需要。",IF(INDEX('匹配计算'!$W$6:$W$29,MATCH("D1-3",'匹配计算'!$L$6:$L$29,0))="摄影创作","符合你想获得更有内容的照片或视频素材的目标。",IF(INDEX('匹配计算'!$W$6:$W$29,MATCH("D1-3",'匹配计算'!$L$6:$L$29,0))="亲子教育","符合亲子共同观察和理解城市的需要。",IF(INDEX('匹配计算'!$W$6:$W$29,MATCH("D1-3",'匹配计算'!$L$6:$L$29,0))="复游新鲜感","符合你想避开重复经典、获得新鲜体验的需要。","符合本次行程的基础画像和城市主叙事。")))))))),"")</x:f>
        <x:v>符合你想看到重庆不可替代立体城市感的目标。</x:v>
      </x:c>
      <x:c r="G17" s="108" t="str">
        <x:f>IF(AND(3&lt;=$B$11,OR("D1"&lt;&gt;"D4",$B$4=4),VALUE(RIGHT("D1",1))&lt;=$B$4),INDEX('路线模块库'!$I$6:$I$29,MATCH("D1-3",'匹配计算'!$L$6:$L$29,0)),"")</x:f>
        <x:v>朝天门首先是城门和码头，其次才是现代天际线。</x:v>
      </x:c>
      <x:c r="H17" s="108" t="str">
        <x:f>IF(AND(3&lt;=$B$11,OR("D1"&lt;&gt;"D4",$B$4=4),VALUE(RIGHT("D1",1))&lt;=$B$4),INDEX('路线模块库'!$J$6:$J$29,MATCH("D1-3",'匹配计算'!$L$6:$L$29,0)),"")</x:f>
        <x:v>在江岸重建长江、嘉陵江和半岛方向。</x:v>
      </x:c>
      <x:c r="I17" s="108" t="n">
        <x:f>IF(AND(3&lt;=$B$11,OR("D1"&lt;&gt;"D4",$B$4=4),VALUE(RIGHT("D1",1))&lt;=$B$4),INDEX('路线模块库'!$K$6:$K$29,MATCH("D1-3",'匹配计算'!$L$6:$L$29,0)),"")</x:f>
        <x:v>75</x:v>
      </x:c>
      <x:c r="J17" s="108" t="str">
        <x:f>IF(AND(3&lt;=$B$11,OR("D1"&lt;&gt;"D4",$B$4=4),VALUE(RIGHT("D1",1))&lt;=$B$4),INDEX('路线模块库'!$AN$6:$AN$29,MATCH("D1-3",'匹配计算'!$L$6:$L$29,0)),"")</x:f>
        <x:v>江岸入口和步行距离需按当天开放情况调整。</x:v>
      </x:c>
    </x:row>
    <x:row r="18" ht="68" customHeight="1">
      <x:c r="A18" s="108" t="str">
        <x:f>IF(AND(4&lt;=$B$11,OR("D1"&lt;&gt;"D4",$B$4=4),VALUE(RIGHT("D1",1))&lt;=$B$4),"D1","")</x:f>
      </x:c>
      <x:c r="B18" s="108" t="str">
        <x:f>IF(AND(4&lt;=$B$11,OR("D1"&lt;&gt;"D4",$B$4=4),VALUE(RIGHT("D1",1))&lt;=$B$4),4,"")</x:f>
      </x:c>
      <x:c r="C18" s="108" t="str">
        <x:f>IF(AND(4&lt;=$B$11,OR("D1"&lt;&gt;"D4",$B$4=4),VALUE(RIGHT("D1",1))&lt;=$B$4),INDEX('路线模块库'!$D$6:$D$29,MATCH("D1-4",'匹配计算'!$L$6:$L$29,0)),"")</x:f>
      </x:c>
      <x:c r="D18" s="108" t="str">
        <x:f>IF(AND(4&lt;=$B$11,OR("D1"&lt;&gt;"D4",$B$4=4),VALUE(RIGHT("D1",1))&lt;=$B$4),INDEX('路线模块库'!$G$6:$G$29,MATCH("D1-4",'匹配计算'!$L$6:$L$29,0)),"")</x:f>
      </x:c>
      <x:c r="E18" s="108" t="str">
        <x:f>IF(AND(4&lt;=$B$11,OR("D1"&lt;&gt;"D4",$B$4=4),VALUE(RIGHT("D1",1))&lt;=$B$4),INDEX('路线模块库'!$H$6:$H$29,MATCH("D1-4",'匹配计算'!$L$6:$L$29,0)),"")</x:f>
      </x:c>
      <x:c r="F18" s="108" t="str">
        <x:f>IF(AND(4&lt;=$B$11,OR("D1"&lt;&gt;"D4",$B$4=4),VALUE(RIGHT("D1",1))&lt;=$B$4),IF(INDEX('匹配计算'!$W$6:$W$29,MATCH("D1-4",'匹配计算'!$L$6:$L$29,0))="视觉奇观","符合你想看到重庆不可替代立体城市感的目标。",IF(INDEX('匹配计算'!$W$6:$W$29,MATCH("D1-4",'匹配计算'!$L$6:$L$29,0))="历史理解","符合你想理解城市为何如此形成的目标。",IF(INDEX('匹配计算'!$W$6:$W$29,MATCH("D1-4",'匹配计算'!$L$6:$L$29,0))="在地生活","符合你不想只走网红打卡路线的偏好。",IF(INDEX('匹配计算'!$W$6:$W$29,MATCH("D1-4",'匹配计算'!$L$6:$L$29,0))="饮食互动","符合你希望通过饮食进入本地生活的偏好。",IF(INDEX('匹配计算'!$W$6:$W$29,MATCH("D1-4",'匹配计算'!$L$6:$L$29,0))="低摩擦","符合你重视节奏、少走冤枉路和确定性的需要。",IF(INDEX('匹配计算'!$W$6:$W$29,MATCH("D1-4",'匹配计算'!$L$6:$L$29,0))="摄影创作","符合你想获得更有内容的照片或视频素材的目标。",IF(INDEX('匹配计算'!$W$6:$W$29,MATCH("D1-4",'匹配计算'!$L$6:$L$29,0))="亲子教育","符合亲子共同观察和理解城市的需要。",IF(INDEX('匹配计算'!$W$6:$W$29,MATCH("D1-4",'匹配计算'!$L$6:$L$29,0))="复游新鲜感","符合你想避开重复经典、获得新鲜体验的需要。","符合本次行程的基础画像和城市主叙事。")))))))),"")</x:f>
      </x:c>
      <x:c r="G18" s="108" t="str">
        <x:f>IF(AND(4&lt;=$B$11,OR("D1"&lt;&gt;"D4",$B$4=4),VALUE(RIGHT("D1",1))&lt;=$B$4),INDEX('路线模块库'!$I$6:$I$29,MATCH("D1-4",'匹配计算'!$L$6:$L$29,0)),"")</x:f>
      </x:c>
      <x:c r="H18" s="108" t="str">
        <x:f>IF(AND(4&lt;=$B$11,OR("D1"&lt;&gt;"D4",$B$4=4),VALUE(RIGHT("D1",1))&lt;=$B$4),INDEX('路线模块库'!$J$6:$J$29,MATCH("D1-4",'匹配计算'!$L$6:$L$29,0)),"")</x:f>
      </x:c>
      <x:c r="I18" s="108" t="str">
        <x:f>IF(AND(4&lt;=$B$11,OR("D1"&lt;&gt;"D4",$B$4=4),VALUE(RIGHT("D1",1))&lt;=$B$4),INDEX('路线模块库'!$K$6:$K$29,MATCH("D1-4",'匹配计算'!$L$6:$L$29,0)),"")</x:f>
      </x:c>
      <x:c r="J18" s="108" t="str">
        <x:f>IF(AND(4&lt;=$B$11,OR("D1"&lt;&gt;"D4",$B$4=4),VALUE(RIGHT("D1",1))&lt;=$B$4),INDEX('路线模块库'!$AN$6:$AN$29,MATCH("D1-4",'匹配计算'!$L$6:$L$29,0)),"")</x:f>
      </x:c>
    </x:row>
    <x:row r="19" ht="68" customHeight="1">
      <x:c r="A19" s="111" t="str">
        <x:f>IF(AND(1&lt;=$B$11,OR("D2"&lt;&gt;"D4",$B$4=4),VALUE(RIGHT("D2",1))&lt;=$B$4),"D2","")</x:f>
        <x:v>D2</x:v>
      </x:c>
      <x:c r="B19" s="111" t="n">
        <x:f>IF(AND(1&lt;=$B$11,OR("D2"&lt;&gt;"D4",$B$4=4),VALUE(RIGHT("D2",1))&lt;=$B$4),1,"")</x:f>
        <x:v>1</x:v>
      </x:c>
      <x:c r="C19" s="111" t="str">
        <x:f>IF(AND(1&lt;=$B$11,OR("D2"&lt;&gt;"D4",$B$4=4),VALUE(RIGHT("D2",1))&lt;=$B$4),INDEX('路线模块库'!$D$6:$D$29,MATCH("D2-1",'匹配计算'!$L$6:$L$29,0)),"")</x:f>
        <x:v>小面早餐与火锅社交</x:v>
      </x:c>
      <x:c r="D19" s="111" t="str">
        <x:f>IF(AND(1&lt;=$B$11,OR("D2"&lt;&gt;"D4",$B$4=4),VALUE(RIGHT("D2",1))&lt;=$B$4),INDEX('路线模块库'!$G$6:$G$29,MATCH("D2-1",'匹配计算'!$L$6:$L$29,0)),"")</x:f>
        <x:v>重庆小面—双语火锅体验</x:v>
      </x:c>
      <x:c r="E19" s="111" t="str">
        <x:f>IF(AND(1&lt;=$B$11,OR("D2"&lt;&gt;"D4",$B$4=4),VALUE(RIGHT("D2",1))&lt;=$B$4),INDEX('路线模块库'!$H$6:$H$29,MATCH("D2-1",'匹配计算'!$L$6:$L$29,0)),"")</x:f>
        <x:v>从一碗早餐进入日常，再用火锅理解共享餐桌、辣度和社交规则。</x:v>
      </x:c>
      <x:c r="F19" s="111" t="str">
        <x:f>IF(AND(1&lt;=$B$11,OR("D2"&lt;&gt;"D4",$B$4=4),VALUE(RIGHT("D2",1))&lt;=$B$4),IF(INDEX('匹配计算'!$W$6:$W$29,MATCH("D2-1",'匹配计算'!$L$6:$L$29,0))="视觉奇观","符合你想看到重庆不可替代立体城市感的目标。",IF(INDEX('匹配计算'!$W$6:$W$29,MATCH("D2-1",'匹配计算'!$L$6:$L$29,0))="历史理解","符合你想理解城市为何如此形成的目标。",IF(INDEX('匹配计算'!$W$6:$W$29,MATCH("D2-1",'匹配计算'!$L$6:$L$29,0))="在地生活","符合你不想只走网红打卡路线的偏好。",IF(INDEX('匹配计算'!$W$6:$W$29,MATCH("D2-1",'匹配计算'!$L$6:$L$29,0))="饮食互动","符合你希望通过饮食进入本地生活的偏好。",IF(INDEX('匹配计算'!$W$6:$W$29,MATCH("D2-1",'匹配计算'!$L$6:$L$29,0))="低摩擦","符合你重视节奏、少走冤枉路和确定性的需要。",IF(INDEX('匹配计算'!$W$6:$W$29,MATCH("D2-1",'匹配计算'!$L$6:$L$29,0))="摄影创作","符合你想获得更有内容的照片或视频素材的目标。",IF(INDEX('匹配计算'!$W$6:$W$29,MATCH("D2-1",'匹配计算'!$L$6:$L$29,0))="亲子教育","符合亲子共同观察和理解城市的需要。",IF(INDEX('匹配计算'!$W$6:$W$29,MATCH("D2-1",'匹配计算'!$L$6:$L$29,0))="复游新鲜感","符合你想避开重复经典、获得新鲜体验的需要。","符合本次行程的基础画像和城市主叙事。")))))))),"")</x:f>
        <x:v>符合你不想只走网红打卡路线的偏好。</x:v>
      </x:c>
      <x:c r="G19" s="111" t="str">
        <x:f>IF(AND(1&lt;=$B$11,OR("D2"&lt;&gt;"D4",$B$4=4),VALUE(RIGHT("D2",1))&lt;=$B$4),INDEX('路线模块库'!$I$6:$I$29,MATCH("D2-1",'匹配计算'!$L$6:$L$29,0)),"")</x:f>
        <x:v>餐厅名单不是产品；点菜、过敏、辣度和规则才是。</x:v>
      </x:c>
      <x:c r="H19" s="111" t="str">
        <x:f>IF(AND(1&lt;=$B$11,OR("D2"&lt;&gt;"D4",$B$4=4),VALUE(RIGHT("D2",1))&lt;=$B$4),INDEX('路线模块库'!$J$6:$J$29,MATCH("D2-1",'匹配计算'!$L$6:$L$29,0)),"")</x:f>
        <x:v>由游客完成一次有解释的点菜。</x:v>
      </x:c>
      <x:c r="I19" s="111" t="n">
        <x:f>IF(AND(1&lt;=$B$11,OR("D2"&lt;&gt;"D4",$B$4=4),VALUE(RIGHT("D2",1))&lt;=$B$4),INDEX('路线模块库'!$K$6:$K$29,MATCH("D2-1",'匹配计算'!$L$6:$L$29,0)),"")</x:f>
        <x:v>180</x:v>
      </x:c>
      <x:c r="J19" s="111" t="str">
        <x:f>IF(AND(1&lt;=$B$11,OR("D2"&lt;&gt;"D4",$B$4=4),VALUE(RIGHT("D2",1))&lt;=$B$4),INDEX('路线模块库'!$AN$6:$AN$29,MATCH("D2-1",'匹配计算'!$L$6:$L$29,0)),"")</x:f>
        <x:v>预订前必须确认过敏原、忌口和辣度；价格与取消规则另行说明。</x:v>
      </x:c>
    </x:row>
    <x:row r="20" ht="68" customHeight="1">
      <x:c r="A20" s="111" t="str">
        <x:f>IF(AND(2&lt;=$B$11,OR("D2"&lt;&gt;"D4",$B$4=4),VALUE(RIGHT("D2",1))&lt;=$B$4),"D2","")</x:f>
        <x:v>D2</x:v>
      </x:c>
      <x:c r="B20" s="111" t="n">
        <x:f>IF(AND(2&lt;=$B$11,OR("D2"&lt;&gt;"D4",$B$4=4),VALUE(RIGHT("D2",1))&lt;=$B$4),2,"")</x:f>
        <x:v>2</x:v>
      </x:c>
      <x:c r="C20" s="111" t="str">
        <x:f>IF(AND(2&lt;=$B$11,OR("D2"&lt;&gt;"D4",$B$4=4),VALUE(RIGHT("D2",1))&lt;=$B$4),INDEX('路线模块库'!$D$6:$D$29,MATCH("D2-2",'匹配计算'!$L$6:$L$29,0)),"")</x:f>
        <x:v>移民母城与水路城门</x:v>
      </x:c>
      <x:c r="D20" s="111" t="str">
        <x:f>IF(AND(2&lt;=$B$11,OR("D2"&lt;&gt;"D4",$B$4=4),VALUE(RIGHT("D2",1))&lt;=$B$4),INDEX('路线模块库'!$G$6:$G$29,MATCH("D2-2",'匹配计算'!$L$6:$L$29,0)),"")</x:f>
        <x:v>湖广会馆—东水门</x:v>
      </x:c>
      <x:c r="E20" s="111" t="str">
        <x:f>IF(AND(2&lt;=$B$11,OR("D2"&lt;&gt;"D4",$B$4=4),VALUE(RIGHT("D2",1))&lt;=$B$4),INDEX('路线模块库'!$H$6:$H$29,MATCH("D2-2",'匹配计算'!$L$6:$L$29,0)),"")</x:f>
        <x:v>从会馆、互助网络和水路入口理解重庆为什么是一座移民城市。</x:v>
      </x:c>
      <x:c r="F20" s="111" t="str">
        <x:f>IF(AND(2&lt;=$B$11,OR("D2"&lt;&gt;"D4",$B$4=4),VALUE(RIGHT("D2",1))&lt;=$B$4),IF(INDEX('匹配计算'!$W$6:$W$29,MATCH("D2-2",'匹配计算'!$L$6:$L$29,0))="视觉奇观","符合你想看到重庆不可替代立体城市感的目标。",IF(INDEX('匹配计算'!$W$6:$W$29,MATCH("D2-2",'匹配计算'!$L$6:$L$29,0))="历史理解","符合你想理解城市为何如此形成的目标。",IF(INDEX('匹配计算'!$W$6:$W$29,MATCH("D2-2",'匹配计算'!$L$6:$L$29,0))="在地生活","符合你不想只走网红打卡路线的偏好。",IF(INDEX('匹配计算'!$W$6:$W$29,MATCH("D2-2",'匹配计算'!$L$6:$L$29,0))="饮食互动","符合你希望通过饮食进入本地生活的偏好。",IF(INDEX('匹配计算'!$W$6:$W$29,MATCH("D2-2",'匹配计算'!$L$6:$L$29,0))="低摩擦","符合你重视节奏、少走冤枉路和确定性的需要。",IF(INDEX('匹配计算'!$W$6:$W$29,MATCH("D2-2",'匹配计算'!$L$6:$L$29,0))="摄影创作","符合你想获得更有内容的照片或视频素材的目标。",IF(INDEX('匹配计算'!$W$6:$W$29,MATCH("D2-2",'匹配计算'!$L$6:$L$29,0))="亲子教育","符合亲子共同观察和理解城市的需要。",IF(INDEX('匹配计算'!$W$6:$W$29,MATCH("D2-2",'匹配计算'!$L$6:$L$29,0))="复游新鲜感","符合你想避开重复经典、获得新鲜体验的需要。","符合本次行程的基础画像和城市主叙事。")))))))),"")</x:f>
        <x:v>符合你想避开重复经典、获得新鲜体验的需要。</x:v>
      </x:c>
      <x:c r="G20" s="111" t="str">
        <x:f>IF(AND(2&lt;=$B$11,OR("D2"&lt;&gt;"D4",$B$4=4),VALUE(RIGHT("D2",1))&lt;=$B$4),INDEX('路线模块库'!$I$6:$I$29,MATCH("D2-2",'匹配计算'!$L$6:$L$29,0)),"")</x:f>
        <x:v>会馆解决的是迁入者的商业、信仰和社会支持问题。</x:v>
      </x:c>
      <x:c r="H20" s="111" t="str">
        <x:f>IF(AND(2&lt;=$B$11,OR("D2"&lt;&gt;"D4",$B$4=4),VALUE(RIGHT("D2",1))&lt;=$B$4),INDEX('路线模块库'!$J$6:$J$29,MATCH("D2-2",'匹配计算'!$L$6:$L$29,0)),"")</x:f>
        <x:v>比较会馆功能与城门地形。</x:v>
      </x:c>
      <x:c r="I20" s="111" t="n">
        <x:f>IF(AND(2&lt;=$B$11,OR("D2"&lt;&gt;"D4",$B$4=4),VALUE(RIGHT("D2",1))&lt;=$B$4),INDEX('路线模块库'!$K$6:$K$29,MATCH("D2-2",'匹配计算'!$L$6:$L$29,0)),"")</x:f>
        <x:v>130</x:v>
      </x:c>
      <x:c r="J20" s="111" t="str">
        <x:f>IF(AND(2&lt;=$B$11,OR("D2"&lt;&gt;"D4",$B$4=4),VALUE(RIGHT("D2",1))&lt;=$B$4),INDEX('路线模块库'!$AN$6:$AN$29,MATCH("D2-2",'匹配计算'!$L$6:$L$29,0)),"")</x:f>
        <x:v>场馆开放与英文服务需在出发前复核。</x:v>
      </x:c>
    </x:row>
    <x:row r="21" ht="68" customHeight="1">
      <x:c r="A21" s="111" t="str">
        <x:f>IF(AND(3&lt;=$B$11,OR("D2"&lt;&gt;"D4",$B$4=4),VALUE(RIGHT("D2",1))&lt;=$B$4),"D2","")</x:f>
        <x:v>D2</x:v>
      </x:c>
      <x:c r="B21" s="111" t="n">
        <x:f>IF(AND(3&lt;=$B$11,OR("D2"&lt;&gt;"D4",$B$4=4),VALUE(RIGHT("D2",1))&lt;=$B$4),3,"")</x:f>
        <x:v>3</x:v>
      </x:c>
      <x:c r="C21" s="111" t="str">
        <x:f>IF(AND(3&lt;=$B$11,OR("D2"&lt;&gt;"D4",$B$4=4),VALUE(RIGHT("D2",1))&lt;=$B$4),INDEX('路线模块库'!$D$6:$D$29,MATCH("D2-3",'匹配计算'!$L$6:$L$29,0)),"")</x:f>
        <x:v>下半城贸易与金融</x:v>
      </x:c>
      <x:c r="D21" s="111" t="str">
        <x:f>IF(AND(3&lt;=$B$11,OR("D2"&lt;&gt;"D4",$B$4=4),VALUE(RIGHT("D2",1))&lt;=$B$4),INDEX('路线模块库'!$G$6:$G$29,MATCH("D2-3",'匹配计算'!$L$6:$L$29,0)),"")</x:f>
        <x:v>白象街—金融历史博物馆</x:v>
      </x:c>
      <x:c r="E21" s="111" t="str">
        <x:f>IF(AND(3&lt;=$B$11,OR("D2"&lt;&gt;"D4",$B$4=4),VALUE(RIGHT("D2",1))&lt;=$B$4),INDEX('路线模块库'!$H$6:$H$29,MATCH("D2-3",'匹配计算'!$L$6:$L$29,0)),"")</x:f>
        <x:v>把码头城市如何进入近代贸易和金融落到真实街区。</x:v>
      </x:c>
      <x:c r="F21" s="111" t="str">
        <x:f>IF(AND(3&lt;=$B$11,OR("D2"&lt;&gt;"D4",$B$4=4),VALUE(RIGHT("D2",1))&lt;=$B$4),IF(INDEX('匹配计算'!$W$6:$W$29,MATCH("D2-3",'匹配计算'!$L$6:$L$29,0))="视觉奇观","符合你想看到重庆不可替代立体城市感的目标。",IF(INDEX('匹配计算'!$W$6:$W$29,MATCH("D2-3",'匹配计算'!$L$6:$L$29,0))="历史理解","符合你想理解城市为何如此形成的目标。",IF(INDEX('匹配计算'!$W$6:$W$29,MATCH("D2-3",'匹配计算'!$L$6:$L$29,0))="在地生活","符合你不想只走网红打卡路线的偏好。",IF(INDEX('匹配计算'!$W$6:$W$29,MATCH("D2-3",'匹配计算'!$L$6:$L$29,0))="饮食互动","符合你希望通过饮食进入本地生活的偏好。",IF(INDEX('匹配计算'!$W$6:$W$29,MATCH("D2-3",'匹配计算'!$L$6:$L$29,0))="低摩擦","符合你重视节奏、少走冤枉路和确定性的需要。",IF(INDEX('匹配计算'!$W$6:$W$29,MATCH("D2-3",'匹配计算'!$L$6:$L$29,0))="摄影创作","符合你想获得更有内容的照片或视频素材的目标。",IF(INDEX('匹配计算'!$W$6:$W$29,MATCH("D2-3",'匹配计算'!$L$6:$L$29,0))="亲子教育","符合亲子共同观察和理解城市的需要。",IF(INDEX('匹配计算'!$W$6:$W$29,MATCH("D2-3",'匹配计算'!$L$6:$L$29,0))="复游新鲜感","符合你想避开重复经典、获得新鲜体验的需要。","符合本次行程的基础画像和城市主叙事。")))))))),"")</x:f>
        <x:v>符合你想避开重复经典、获得新鲜体验的需要。</x:v>
      </x:c>
      <x:c r="G21" s="111" t="str">
        <x:f>IF(AND(3&lt;=$B$11,OR("D2"&lt;&gt;"D4",$B$4=4),VALUE(RIGHT("D2",1))&lt;=$B$4),INDEX('路线模块库'!$I$6:$I$29,MATCH("D2-3",'匹配计算'!$L$6:$L$29,0)),"")</x:f>
        <x:v>不要把所有新旧建筑都讲成古迹。</x:v>
      </x:c>
      <x:c r="H21" s="111" t="str">
        <x:f>IF(AND(3&lt;=$B$11,OR("D2"&lt;&gt;"D4",$B$4=4),VALUE(RIGHT("D2",1))&lt;=$B$4),INDEX('路线模块库'!$J$6:$J$29,MATCH("D2-3",'匹配计算'!$L$6:$L$29,0)),"")</x:f>
        <x:v>区分历史建筑、修复部分和新商业。</x:v>
      </x:c>
      <x:c r="I21" s="111" t="n">
        <x:f>IF(AND(3&lt;=$B$11,OR("D2"&lt;&gt;"D4",$B$4=4),VALUE(RIGHT("D2",1))&lt;=$B$4),INDEX('路线模块库'!$K$6:$K$29,MATCH("D2-3",'匹配计算'!$L$6:$L$29,0)),"")</x:f>
        <x:v>95</x:v>
      </x:c>
      <x:c r="J21" s="111" t="str">
        <x:f>IF(AND(3&lt;=$B$11,OR("D2"&lt;&gt;"D4",$B$4=4),VALUE(RIGHT("D2",1))&lt;=$B$4),INDEX('路线模块库'!$AN$6:$AN$29,MATCH("D2-3",'匹配计算'!$L$6:$L$29,0)),"")</x:f>
        <x:v>部分建筑经过修复或更新，现场会明确区分历史遗存与新商业。</x:v>
      </x:c>
    </x:row>
    <x:row r="22" ht="68" customHeight="1">
      <x:c r="A22" s="111" t="str">
        <x:f>IF(AND(4&lt;=$B$11,OR("D2"&lt;&gt;"D4",$B$4=4),VALUE(RIGHT("D2",1))&lt;=$B$4),"D2","")</x:f>
      </x:c>
      <x:c r="B22" s="111" t="str">
        <x:f>IF(AND(4&lt;=$B$11,OR("D2"&lt;&gt;"D4",$B$4=4),VALUE(RIGHT("D2",1))&lt;=$B$4),4,"")</x:f>
      </x:c>
      <x:c r="C22" s="111" t="str">
        <x:f>IF(AND(4&lt;=$B$11,OR("D2"&lt;&gt;"D4",$B$4=4),VALUE(RIGHT("D2",1))&lt;=$B$4),INDEX('路线模块库'!$D$6:$D$29,MATCH("D2-4",'匹配计算'!$L$6:$L$29,0)),"")</x:f>
      </x:c>
      <x:c r="D22" s="111" t="str">
        <x:f>IF(AND(4&lt;=$B$11,OR("D2"&lt;&gt;"D4",$B$4=4),VALUE(RIGHT("D2",1))&lt;=$B$4),INDEX('路线模块库'!$G$6:$G$29,MATCH("D2-4",'匹配计算'!$L$6:$L$29,0)),"")</x:f>
      </x:c>
      <x:c r="E22" s="111" t="str">
        <x:f>IF(AND(4&lt;=$B$11,OR("D2"&lt;&gt;"D4",$B$4=4),VALUE(RIGHT("D2",1))&lt;=$B$4),INDEX('路线模块库'!$H$6:$H$29,MATCH("D2-4",'匹配计算'!$L$6:$L$29,0)),"")</x:f>
      </x:c>
      <x:c r="F22" s="111" t="str">
        <x:f>IF(AND(4&lt;=$B$11,OR("D2"&lt;&gt;"D4",$B$4=4),VALUE(RIGHT("D2",1))&lt;=$B$4),IF(INDEX('匹配计算'!$W$6:$W$29,MATCH("D2-4",'匹配计算'!$L$6:$L$29,0))="视觉奇观","符合你想看到重庆不可替代立体城市感的目标。",IF(INDEX('匹配计算'!$W$6:$W$29,MATCH("D2-4",'匹配计算'!$L$6:$L$29,0))="历史理解","符合你想理解城市为何如此形成的目标。",IF(INDEX('匹配计算'!$W$6:$W$29,MATCH("D2-4",'匹配计算'!$L$6:$L$29,0))="在地生活","符合你不想只走网红打卡路线的偏好。",IF(INDEX('匹配计算'!$W$6:$W$29,MATCH("D2-4",'匹配计算'!$L$6:$L$29,0))="饮食互动","符合你希望通过饮食进入本地生活的偏好。",IF(INDEX('匹配计算'!$W$6:$W$29,MATCH("D2-4",'匹配计算'!$L$6:$L$29,0))="低摩擦","符合你重视节奏、少走冤枉路和确定性的需要。",IF(INDEX('匹配计算'!$W$6:$W$29,MATCH("D2-4",'匹配计算'!$L$6:$L$29,0))="摄影创作","符合你想获得更有内容的照片或视频素材的目标。",IF(INDEX('匹配计算'!$W$6:$W$29,MATCH("D2-4",'匹配计算'!$L$6:$L$29,0))="亲子教育","符合亲子共同观察和理解城市的需要。",IF(INDEX('匹配计算'!$W$6:$W$29,MATCH("D2-4",'匹配计算'!$L$6:$L$29,0))="复游新鲜感","符合你想避开重复经典、获得新鲜体验的需要。","符合本次行程的基础画像和城市主叙事。")))))))),"")</x:f>
      </x:c>
      <x:c r="G22" s="111" t="str">
        <x:f>IF(AND(4&lt;=$B$11,OR("D2"&lt;&gt;"D4",$B$4=4),VALUE(RIGHT("D2",1))&lt;=$B$4),INDEX('路线模块库'!$I$6:$I$29,MATCH("D2-4",'匹配计算'!$L$6:$L$29,0)),"")</x:f>
      </x:c>
      <x:c r="H22" s="111" t="str">
        <x:f>IF(AND(4&lt;=$B$11,OR("D2"&lt;&gt;"D4",$B$4=4),VALUE(RIGHT("D2",1))&lt;=$B$4),INDEX('路线模块库'!$J$6:$J$29,MATCH("D2-4",'匹配计算'!$L$6:$L$29,0)),"")</x:f>
      </x:c>
      <x:c r="I22" s="111" t="str">
        <x:f>IF(AND(4&lt;=$B$11,OR("D2"&lt;&gt;"D4",$B$4=4),VALUE(RIGHT("D2",1))&lt;=$B$4),INDEX('路线模块库'!$K$6:$K$29,MATCH("D2-4",'匹配计算'!$L$6:$L$29,0)),"")</x:f>
      </x:c>
      <x:c r="J22" s="111" t="str">
        <x:f>IF(AND(4&lt;=$B$11,OR("D2"&lt;&gt;"D4",$B$4=4),VALUE(RIGHT("D2",1))&lt;=$B$4),INDEX('路线模块库'!$AN$6:$AN$29,MATCH("D2-4",'匹配计算'!$L$6:$L$29,0)),"")</x:f>
      </x:c>
    </x:row>
    <x:row r="23" ht="68" customHeight="1">
      <x:c r="A23" s="114" t="str">
        <x:f>IF(AND(1&lt;=$B$11,OR("D3"&lt;&gt;"D4",$B$4=4),VALUE(RIGHT("D3",1))&lt;=$B$4),"D3","")</x:f>
        <x:v>D3</x:v>
      </x:c>
      <x:c r="B23" s="114" t="n">
        <x:f>IF(AND(1&lt;=$B$11,OR("D3"&lt;&gt;"D4",$B$4=4),VALUE(RIGHT("D3",1))&lt;=$B$4),1,"")</x:f>
        <x:v>1</x:v>
      </x:c>
      <x:c r="C23" s="114" t="str">
        <x:f>IF(AND(1&lt;=$B$11,OR("D3"&lt;&gt;"D4",$B$4=4),VALUE(RIGHT("D3",1))&lt;=$B$4),INDEX('路线模块库'!$D$6:$D$29,MATCH("D3-1",'匹配计算'!$L$6:$L$29,0)),"")</x:f>
        <x:v>先乘坐，再拍照</x:v>
      </x:c>
      <x:c r="D23" s="114" t="str">
        <x:f>IF(AND(1&lt;=$B$11,OR("D3"&lt;&gt;"D4",$B$4=4),VALUE(RIGHT("D3",1))&lt;=$B$4),INDEX('路线模块库'!$G$6:$G$29,MATCH("D3-1",'匹配计算'!$L$6:$L$29,0)),"")</x:f>
        <x:v>轨道2号线—李子坝</x:v>
      </x:c>
      <x:c r="E23" s="114" t="str">
        <x:f>IF(AND(1&lt;=$B$11,OR("D3"&lt;&gt;"D4",$B$4=4),VALUE(RIGHT("D3",1))&lt;=$B$4),INDEX('路线模块库'!$H$6:$H$29,MATCH("D3-1",'匹配计算'!$L$6:$L$29,0)),"")</x:f>
        <x:v>单轨的价值是适应曲线、坡度和密集城市，而不是一张穿楼照片。</x:v>
      </x:c>
      <x:c r="F23" s="114" t="str">
        <x:f>IF(AND(1&lt;=$B$11,OR("D3"&lt;&gt;"D4",$B$4=4),VALUE(RIGHT("D3",1))&lt;=$B$4),IF(INDEX('匹配计算'!$W$6:$W$29,MATCH("D3-1",'匹配计算'!$L$6:$L$29,0))="视觉奇观","符合你想看到重庆不可替代立体城市感的目标。",IF(INDEX('匹配计算'!$W$6:$W$29,MATCH("D3-1",'匹配计算'!$L$6:$L$29,0))="历史理解","符合你想理解城市为何如此形成的目标。",IF(INDEX('匹配计算'!$W$6:$W$29,MATCH("D3-1",'匹配计算'!$L$6:$L$29,0))="在地生活","符合你不想只走网红打卡路线的偏好。",IF(INDEX('匹配计算'!$W$6:$W$29,MATCH("D3-1",'匹配计算'!$L$6:$L$29,0))="饮食互动","符合你希望通过饮食进入本地生活的偏好。",IF(INDEX('匹配计算'!$W$6:$W$29,MATCH("D3-1",'匹配计算'!$L$6:$L$29,0))="低摩擦","符合你重视节奏、少走冤枉路和确定性的需要。",IF(INDEX('匹配计算'!$W$6:$W$29,MATCH("D3-1",'匹配计算'!$L$6:$L$29,0))="摄影创作","符合你想获得更有内容的照片或视频素材的目标。",IF(INDEX('匹配计算'!$W$6:$W$29,MATCH("D3-1",'匹配计算'!$L$6:$L$29,0))="亲子教育","符合亲子共同观察和理解城市的需要。",IF(INDEX('匹配计算'!$W$6:$W$29,MATCH("D3-1",'匹配计算'!$L$6:$L$29,0))="复游新鲜感","符合你想避开重复经典、获得新鲜体验的需要。","符合本次行程的基础画像和城市主叙事。")))))))),"")</x:f>
        <x:v>符合你想看到重庆不可替代立体城市感的目标。</x:v>
      </x:c>
      <x:c r="G23" s="114" t="str">
        <x:f>IF(AND(1&lt;=$B$11,OR("D3"&lt;&gt;"D4",$B$4=4),VALUE(RIGHT("D3",1))&lt;=$B$4),INDEX('路线模块库'!$I$6:$I$29,MATCH("D3-1",'匹配计算'!$L$6:$L$29,0)),"")</x:f>
        <x:v>李子坝观景台是验证点，乘车才是核心。</x:v>
      </x:c>
      <x:c r="H23" s="114" t="str">
        <x:f>IF(AND(1&lt;=$B$11,OR("D3"&lt;&gt;"D4",$B$4=4),VALUE(RIGHT("D3",1))&lt;=$B$4),INDEX('路线模块库'!$J$6:$J$29,MATCH("D3-1",'匹配计算'!$L$6:$L$29,0)),"")</x:f>
        <x:v>从车内记录高架、沿江、曲线和不同地面。</x:v>
      </x:c>
      <x:c r="I23" s="114" t="n">
        <x:f>IF(AND(1&lt;=$B$11,OR("D3"&lt;&gt;"D4",$B$4=4),VALUE(RIGHT("D3",1))&lt;=$B$4),INDEX('路线模块库'!$K$6:$K$29,MATCH("D3-1",'匹配计算'!$L$6:$L$29,0)),"")</x:f>
        <x:v>70</x:v>
      </x:c>
      <x:c r="J23" s="114" t="str">
        <x:f>IF(AND(1&lt;=$B$11,OR("D3"&lt;&gt;"D4",$B$4=4),VALUE(RIGHT("D3",1))&lt;=$B$4),INDEX('路线模块库'!$AN$6:$AN$29,MATCH("D3-1",'匹配计算'!$L$6:$L$29,0)),"")</x:f>
        <x:v>施工或人流较大时仍保留乘车体验，外部观景点可能调整。</x:v>
      </x:c>
    </x:row>
    <x:row r="24" ht="68" customHeight="1">
      <x:c r="A24" s="114" t="str">
        <x:f>IF(AND(2&lt;=$B$11,OR("D3"&lt;&gt;"D4",$B$4=4),VALUE(RIGHT("D3",1))&lt;=$B$4),"D3","")</x:f>
        <x:v>D3</x:v>
      </x:c>
      <x:c r="B24" s="114" t="n">
        <x:f>IF(AND(2&lt;=$B$11,OR("D3"&lt;&gt;"D4",$B$4=4),VALUE(RIGHT("D3",1))&lt;=$B$4),2,"")</x:f>
        <x:v>2</x:v>
      </x:c>
      <x:c r="C24" s="114" t="str">
        <x:f>IF(AND(2&lt;=$B$11,OR("D3"&lt;&gt;"D4",$B$4=4),VALUE(RIGHT("D3",1))&lt;=$B$4),INDEX('路线模块库'!$D$6:$D$29,MATCH("D3-2",'匹配计算'!$L$6:$L$29,0)),"")</x:f>
        <x:v>抗战陪都街区</x:v>
      </x:c>
      <x:c r="D24" s="114" t="str">
        <x:f>IF(AND(2&lt;=$B$11,OR("D3"&lt;&gt;"D4",$B$4=4),VALUE(RIGHT("D3",1))&lt;=$B$4),INDEX('路线模块库'!$G$6:$G$29,MATCH("D3-2",'匹配计算'!$L$6:$L$29,0)),"")</x:f>
        <x:v>中山四路：桂园—周公馆—特园</x:v>
      </x:c>
      <x:c r="E24" s="114" t="str">
        <x:f>IF(AND(2&lt;=$B$11,OR("D3"&lt;&gt;"D4",$B$4=4),VALUE(RIGHT("D3",1))&lt;=$B$4),INDEX('路线模块库'!$H$6:$H$29,MATCH("D3-2",'匹配计算'!$L$6:$L$29,0)),"")</x:f>
        <x:v>把政治、谈判、外交和文化活动放进一条可步行街道。</x:v>
      </x:c>
      <x:c r="F24" s="114" t="str">
        <x:f>IF(AND(2&lt;=$B$11,OR("D3"&lt;&gt;"D4",$B$4=4),VALUE(RIGHT("D3",1))&lt;=$B$4),IF(INDEX('匹配计算'!$W$6:$W$29,MATCH("D3-2",'匹配计算'!$L$6:$L$29,0))="视觉奇观","符合你想看到重庆不可替代立体城市感的目标。",IF(INDEX('匹配计算'!$W$6:$W$29,MATCH("D3-2",'匹配计算'!$L$6:$L$29,0))="历史理解","符合你想理解城市为何如此形成的目标。",IF(INDEX('匹配计算'!$W$6:$W$29,MATCH("D3-2",'匹配计算'!$L$6:$L$29,0))="在地生活","符合你不想只走网红打卡路线的偏好。",IF(INDEX('匹配计算'!$W$6:$W$29,MATCH("D3-2",'匹配计算'!$L$6:$L$29,0))="饮食互动","符合你希望通过饮食进入本地生活的偏好。",IF(INDEX('匹配计算'!$W$6:$W$29,MATCH("D3-2",'匹配计算'!$L$6:$L$29,0))="低摩擦","符合你重视节奏、少走冤枉路和确定性的需要。",IF(INDEX('匹配计算'!$W$6:$W$29,MATCH("D3-2",'匹配计算'!$L$6:$L$29,0))="摄影创作","符合你想获得更有内容的照片或视频素材的目标。",IF(INDEX('匹配计算'!$W$6:$W$29,MATCH("D3-2",'匹配计算'!$L$6:$L$29,0))="亲子教育","符合亲子共同观察和理解城市的需要。",IF(INDEX('匹配计算'!$W$6:$W$29,MATCH("D3-2",'匹配计算'!$L$6:$L$29,0))="复游新鲜感","符合你想避开重复经典、获得新鲜体验的需要。","符合本次行程的基础画像和城市主叙事。")))))))),"")</x:f>
        <x:v>符合你重视节奏、少走冤枉路和确定性的需要。</x:v>
      </x:c>
      <x:c r="G24" s="114" t="str">
        <x:f>IF(AND(2&lt;=$B$11,OR("D3"&lt;&gt;"D4",$B$4=4),VALUE(RIGHT("D3",1))&lt;=$B$4),INDEX('路线模块库'!$I$6:$I$29,MATCH("D3-2",'匹配计算'!$L$6:$L$29,0)),"")</x:f>
        <x:v>用关系和选择讲历史，不堆人物与年代。</x:v>
      </x:c>
      <x:c r="H24" s="114" t="str">
        <x:f>IF(AND(2&lt;=$B$11,OR("D3"&lt;&gt;"D4",$B$4=4),VALUE(RIGHT("D3",1))&lt;=$B$4),INDEX('路线模块库'!$J$6:$J$29,MATCH("D3-2",'匹配计算'!$L$6:$L$29,0)),"")</x:f>
        <x:v>比较住宅尺度与其承担的国际政治功能。</x:v>
      </x:c>
      <x:c r="I24" s="114" t="n">
        <x:f>IF(AND(2&lt;=$B$11,OR("D3"&lt;&gt;"D4",$B$4=4),VALUE(RIGHT("D3",1))&lt;=$B$4),INDEX('路线模块库'!$K$6:$K$29,MATCH("D3-2",'匹配计算'!$L$6:$L$29,0)),"")</x:f>
        <x:v>120</x:v>
      </x:c>
      <x:c r="J24" s="114" t="str">
        <x:f>IF(AND(2&lt;=$B$11,OR("D3"&lt;&gt;"D4",$B$4=4),VALUE(RIGHT("D3",1))&lt;=$B$4),INDEX('路线模块库'!$AN$6:$AN$29,MATCH("D3-2",'匹配计算'!$L$6:$L$29,0)),"")</x:f>
        <x:v>街区步行约两小时；会按兴趣控制政治史讲解比重。</x:v>
      </x:c>
    </x:row>
    <x:row r="25" ht="68" customHeight="1">
      <x:c r="A25" s="114" t="str">
        <x:f>IF(AND(3&lt;=$B$11,OR("D3"&lt;&gt;"D4",$B$4=4),VALUE(RIGHT("D3",1))&lt;=$B$4),"D3","")</x:f>
        <x:v>D3</x:v>
      </x:c>
      <x:c r="B25" s="114" t="n">
        <x:f>IF(AND(3&lt;=$B$11,OR("D3"&lt;&gt;"D4",$B$4=4),VALUE(RIGHT("D3",1))&lt;=$B$4),3,"")</x:f>
        <x:v>3</x:v>
      </x:c>
      <x:c r="C25" s="114" t="str">
        <x:f>IF(AND(3&lt;=$B$11,OR("D3"&lt;&gt;"D4",$B$4=4),VALUE(RIGHT("D3",1))&lt;=$B$4),INDEX('路线模块库'!$D$6:$D$29,MATCH("D3-3",'匹配计算'!$L$6:$L$29,0)),"")</x:f>
        <x:v>博物馆建立城市框架</x:v>
      </x:c>
      <x:c r="D25" s="114" t="str">
        <x:f>IF(AND(3&lt;=$B$11,OR("D3"&lt;&gt;"D4",$B$4=4),VALUE(RIGHT("D3",1))&lt;=$B$4),INDEX('路线模块库'!$G$6:$G$29,MATCH("D3-3",'匹配计算'!$L$6:$L$29,0)),"")</x:f>
        <x:v>三峡博物馆—人民大礼堂外观</x:v>
      </x:c>
      <x:c r="E25" s="114" t="str">
        <x:f>IF(AND(3&lt;=$B$11,OR("D3"&lt;&gt;"D4",$B$4=4),VALUE(RIGHT("D3",1))&lt;=$B$4),INDEX('路线模块库'!$H$6:$H$29,MATCH("D3-3",'匹配计算'!$L$6:$L$29,0)),"")</x:f>
        <x:v>用地形、移民、三峡和抗战四条线解释前两天看到的重庆。</x:v>
      </x:c>
      <x:c r="F25" s="114" t="str">
        <x:f>IF(AND(3&lt;=$B$11,OR("D3"&lt;&gt;"D4",$B$4=4),VALUE(RIGHT("D3",1))&lt;=$B$4),IF(INDEX('匹配计算'!$W$6:$W$29,MATCH("D3-3",'匹配计算'!$L$6:$L$29,0))="视觉奇观","符合你想看到重庆不可替代立体城市感的目标。",IF(INDEX('匹配计算'!$W$6:$W$29,MATCH("D3-3",'匹配计算'!$L$6:$L$29,0))="历史理解","符合你想理解城市为何如此形成的目标。",IF(INDEX('匹配计算'!$W$6:$W$29,MATCH("D3-3",'匹配计算'!$L$6:$L$29,0))="在地生活","符合你不想只走网红打卡路线的偏好。",IF(INDEX('匹配计算'!$W$6:$W$29,MATCH("D3-3",'匹配计算'!$L$6:$L$29,0))="饮食互动","符合你希望通过饮食进入本地生活的偏好。",IF(INDEX('匹配计算'!$W$6:$W$29,MATCH("D3-3",'匹配计算'!$L$6:$L$29,0))="低摩擦","符合你重视节奏、少走冤枉路和确定性的需要。",IF(INDEX('匹配计算'!$W$6:$W$29,MATCH("D3-3",'匹配计算'!$L$6:$L$29,0))="摄影创作","符合你想获得更有内容的照片或视频素材的目标。",IF(INDEX('匹配计算'!$W$6:$W$29,MATCH("D3-3",'匹配计算'!$L$6:$L$29,0))="亲子教育","符合亲子共同观察和理解城市的需要。",IF(INDEX('匹配计算'!$W$6:$W$29,MATCH("D3-3",'匹配计算'!$L$6:$L$29,0))="复游新鲜感","符合你想避开重复经典、获得新鲜体验的需要。","符合本次行程的基础画像和城市主叙事。")))))))),"")</x:f>
        <x:v>符合你重视节奏、少走冤枉路和确定性的需要。</x:v>
      </x:c>
      <x:c r="G25" s="114" t="str">
        <x:f>IF(AND(3&lt;=$B$11,OR("D3"&lt;&gt;"D4",$B$4=4),VALUE(RIGHT("D3",1))&lt;=$B$4),INDEX('路线模块库'!$I$6:$I$29,MATCH("D3-3",'匹配计算'!$L$6:$L$29,0)),"")</x:f>
        <x:v>博物馆只选与路线相关的展厅，不追求逛完。</x:v>
      </x:c>
      <x:c r="H25" s="114" t="str">
        <x:f>IF(AND(3&lt;=$B$11,OR("D3"&lt;&gt;"D4",$B$4=4),VALUE(RIGHT("D3",1))&lt;=$B$4),INDEX('路线模块库'!$J$6:$J$29,MATCH("D3-3",'匹配计算'!$L$6:$L$29,0)),"")</x:f>
        <x:v>说出三件离馆后更能理解的城市现象。</x:v>
      </x:c>
      <x:c r="I25" s="114" t="n">
        <x:f>IF(AND(3&lt;=$B$11,OR("D3"&lt;&gt;"D4",$B$4=4),VALUE(RIGHT("D3",1))&lt;=$B$4),INDEX('路线模块库'!$K$6:$K$29,MATCH("D3-3",'匹配计算'!$L$6:$L$29,0)),"")</x:f>
        <x:v>180</x:v>
      </x:c>
      <x:c r="J25" s="114" t="str">
        <x:f>IF(AND(3&lt;=$B$11,OR("D3"&lt;&gt;"D4",$B$4=4),VALUE(RIGHT("D3",1))&lt;=$B$4),INDEX('路线模块库'!$AN$6:$AN$29,MATCH("D3-3",'匹配计算'!$L$6:$L$29,0)),"")</x:f>
        <x:v>周一和临展调整可能影响开放，出发前会再次确认。</x:v>
      </x:c>
    </x:row>
    <x:row r="26" ht="68" customHeight="1">
      <x:c r="A26" s="114" t="str">
        <x:f>IF(AND(4&lt;=$B$11,OR("D3"&lt;&gt;"D4",$B$4=4),VALUE(RIGHT("D3",1))&lt;=$B$4),"D3","")</x:f>
      </x:c>
      <x:c r="B26" s="114" t="str">
        <x:f>IF(AND(4&lt;=$B$11,OR("D3"&lt;&gt;"D4",$B$4=4),VALUE(RIGHT("D3",1))&lt;=$B$4),4,"")</x:f>
      </x:c>
      <x:c r="C26" s="114" t="str">
        <x:f>IF(AND(4&lt;=$B$11,OR("D3"&lt;&gt;"D4",$B$4=4),VALUE(RIGHT("D3",1))&lt;=$B$4),INDEX('路线模块库'!$D$6:$D$29,MATCH("D3-4",'匹配计算'!$L$6:$L$29,0)),"")</x:f>
      </x:c>
      <x:c r="D26" s="114" t="str">
        <x:f>IF(AND(4&lt;=$B$11,OR("D3"&lt;&gt;"D4",$B$4=4),VALUE(RIGHT("D3",1))&lt;=$B$4),INDEX('路线模块库'!$G$6:$G$29,MATCH("D3-4",'匹配计算'!$L$6:$L$29,0)),"")</x:f>
      </x:c>
      <x:c r="E26" s="114" t="str">
        <x:f>IF(AND(4&lt;=$B$11,OR("D3"&lt;&gt;"D4",$B$4=4),VALUE(RIGHT("D3",1))&lt;=$B$4),INDEX('路线模块库'!$H$6:$H$29,MATCH("D3-4",'匹配计算'!$L$6:$L$29,0)),"")</x:f>
      </x:c>
      <x:c r="F26" s="114" t="str">
        <x:f>IF(AND(4&lt;=$B$11,OR("D3"&lt;&gt;"D4",$B$4=4),VALUE(RIGHT("D3",1))&lt;=$B$4),IF(INDEX('匹配计算'!$W$6:$W$29,MATCH("D3-4",'匹配计算'!$L$6:$L$29,0))="视觉奇观","符合你想看到重庆不可替代立体城市感的目标。",IF(INDEX('匹配计算'!$W$6:$W$29,MATCH("D3-4",'匹配计算'!$L$6:$L$29,0))="历史理解","符合你想理解城市为何如此形成的目标。",IF(INDEX('匹配计算'!$W$6:$W$29,MATCH("D3-4",'匹配计算'!$L$6:$L$29,0))="在地生活","符合你不想只走网红打卡路线的偏好。",IF(INDEX('匹配计算'!$W$6:$W$29,MATCH("D3-4",'匹配计算'!$L$6:$L$29,0))="饮食互动","符合你希望通过饮食进入本地生活的偏好。",IF(INDEX('匹配计算'!$W$6:$W$29,MATCH("D3-4",'匹配计算'!$L$6:$L$29,0))="低摩擦","符合你重视节奏、少走冤枉路和确定性的需要。",IF(INDEX('匹配计算'!$W$6:$W$29,MATCH("D3-4",'匹配计算'!$L$6:$L$29,0))="摄影创作","符合你想获得更有内容的照片或视频素材的目标。",IF(INDEX('匹配计算'!$W$6:$W$29,MATCH("D3-4",'匹配计算'!$L$6:$L$29,0))="亲子教育","符合亲子共同观察和理解城市的需要。",IF(INDEX('匹配计算'!$W$6:$W$29,MATCH("D3-4",'匹配计算'!$L$6:$L$29,0))="复游新鲜感","符合你想避开重复经典、获得新鲜体验的需要。","符合本次行程的基础画像和城市主叙事。")))))))),"")</x:f>
      </x:c>
      <x:c r="G26" s="114" t="str">
        <x:f>IF(AND(4&lt;=$B$11,OR("D3"&lt;&gt;"D4",$B$4=4),VALUE(RIGHT("D3",1))&lt;=$B$4),INDEX('路线模块库'!$I$6:$I$29,MATCH("D3-4",'匹配计算'!$L$6:$L$29,0)),"")</x:f>
      </x:c>
      <x:c r="H26" s="114" t="str">
        <x:f>IF(AND(4&lt;=$B$11,OR("D3"&lt;&gt;"D4",$B$4=4),VALUE(RIGHT("D3",1))&lt;=$B$4),INDEX('路线模块库'!$J$6:$J$29,MATCH("D3-4",'匹配计算'!$L$6:$L$29,0)),"")</x:f>
      </x:c>
      <x:c r="I26" s="114" t="str">
        <x:f>IF(AND(4&lt;=$B$11,OR("D3"&lt;&gt;"D4",$B$4=4),VALUE(RIGHT("D3",1))&lt;=$B$4),INDEX('路线模块库'!$K$6:$K$29,MATCH("D3-4",'匹配计算'!$L$6:$L$29,0)),"")</x:f>
      </x:c>
      <x:c r="J26" s="114" t="str">
        <x:f>IF(AND(4&lt;=$B$11,OR("D3"&lt;&gt;"D4",$B$4=4),VALUE(RIGHT("D3",1))&lt;=$B$4),INDEX('路线模块库'!$AN$6:$AN$29,MATCH("D3-4",'匹配计算'!$L$6:$L$29,0)),"")</x:f>
      </x:c>
    </x:row>
    <x:row r="27" ht="68" customHeight="1">
      <x:c r="A27" s="117" t="str">
        <x:f>IF(AND(1&lt;=$B$11,OR("D4"&lt;&gt;"D4",$B$4=4),VALUE(RIGHT("D4",1))&lt;=$B$4),"D4","")</x:f>
      </x:c>
      <x:c r="B27" s="117" t="str">
        <x:f>IF(AND(1&lt;=$B$11,OR("D4"&lt;&gt;"D4",$B$4=4),VALUE(RIGHT("D4",1))&lt;=$B$4),1,"")</x:f>
      </x:c>
      <x:c r="C27" s="117" t="str">
        <x:f>IF(AND(1&lt;=$B$11,OR("D4"&lt;&gt;"D4",$B$4=4),VALUE(RIGHT("D4",1))&lt;=$B$4),INDEX('路线模块库'!$D$6:$D$29,MATCH("D4-1",'匹配计算'!$L$6:$L$29,0)),"")</x:f>
      </x:c>
      <x:c r="D27" s="117" t="str">
        <x:f>IF(AND(1&lt;=$B$11,OR("D4"&lt;&gt;"D4",$B$4=4),VALUE(RIGHT("D4",1))&lt;=$B$4),INDEX('路线模块库'!$G$6:$G$29,MATCH("D4-1",'匹配计算'!$L$6:$L$29,0)),"")</x:f>
      </x:c>
      <x:c r="E27" s="117" t="str">
        <x:f>IF(AND(1&lt;=$B$11,OR("D4"&lt;&gt;"D4",$B$4=4),VALUE(RIGHT("D4",1))&lt;=$B$4),INDEX('路线模块库'!$H$6:$H$29,MATCH("D4-1",'匹配计算'!$L$6:$L$29,0)),"")</x:f>
      </x:c>
      <x:c r="F27" s="117" t="str">
        <x:f>IF(AND(1&lt;=$B$11,OR("D4"&lt;&gt;"D4",$B$4=4),VALUE(RIGHT("D4",1))&lt;=$B$4),IF(INDEX('匹配计算'!$W$6:$W$29,MATCH("D4-1",'匹配计算'!$L$6:$L$29,0))="视觉奇观","符合你想看到重庆不可替代立体城市感的目标。",IF(INDEX('匹配计算'!$W$6:$W$29,MATCH("D4-1",'匹配计算'!$L$6:$L$29,0))="历史理解","符合你想理解城市为何如此形成的目标。",IF(INDEX('匹配计算'!$W$6:$W$29,MATCH("D4-1",'匹配计算'!$L$6:$L$29,0))="在地生活","符合你不想只走网红打卡路线的偏好。",IF(INDEX('匹配计算'!$W$6:$W$29,MATCH("D4-1",'匹配计算'!$L$6:$L$29,0))="饮食互动","符合你希望通过饮食进入本地生活的偏好。",IF(INDEX('匹配计算'!$W$6:$W$29,MATCH("D4-1",'匹配计算'!$L$6:$L$29,0))="低摩擦","符合你重视节奏、少走冤枉路和确定性的需要。",IF(INDEX('匹配计算'!$W$6:$W$29,MATCH("D4-1",'匹配计算'!$L$6:$L$29,0))="摄影创作","符合你想获得更有内容的照片或视频素材的目标。",IF(INDEX('匹配计算'!$W$6:$W$29,MATCH("D4-1",'匹配计算'!$L$6:$L$29,0))="亲子教育","符合亲子共同观察和理解城市的需要。",IF(INDEX('匹配计算'!$W$6:$W$29,MATCH("D4-1",'匹配计算'!$L$6:$L$29,0))="复游新鲜感","符合你想避开重复经典、获得新鲜体验的需要。","符合本次行程的基础画像和城市主叙事。")))))))),"")</x:f>
      </x:c>
      <x:c r="G27" s="117" t="str">
        <x:f>IF(AND(1&lt;=$B$11,OR("D4"&lt;&gt;"D4",$B$4=4),VALUE(RIGHT("D4",1))&lt;=$B$4),INDEX('路线模块库'!$I$6:$I$29,MATCH("D4-1",'匹配计算'!$L$6:$L$29,0)),"")</x:f>
      </x:c>
      <x:c r="H27" s="117" t="str">
        <x:f>IF(AND(1&lt;=$B$11,OR("D4"&lt;&gt;"D4",$B$4=4),VALUE(RIGHT("D4",1))&lt;=$B$4),INDEX('路线模块库'!$J$6:$J$29,MATCH("D4-1",'匹配计算'!$L$6:$L$29,0)),"")</x:f>
      </x:c>
      <x:c r="I27" s="117" t="str">
        <x:f>IF(AND(1&lt;=$B$11,OR("D4"&lt;&gt;"D4",$B$4=4),VALUE(RIGHT("D4",1))&lt;=$B$4),INDEX('路线模块库'!$K$6:$K$29,MATCH("D4-1",'匹配计算'!$L$6:$L$29,0)),"")</x:f>
      </x:c>
      <x:c r="J27" s="117" t="str">
        <x:f>IF(AND(1&lt;=$B$11,OR("D4"&lt;&gt;"D4",$B$4=4),VALUE(RIGHT("D4",1))&lt;=$B$4),INDEX('路线模块库'!$AN$6:$AN$29,MATCH("D4-1",'匹配计算'!$L$6:$L$29,0)),"")</x:f>
      </x:c>
    </x:row>
    <x:row r="28" ht="68" customHeight="1">
      <x:c r="A28" s="117" t="str">
        <x:f>IF(AND(2&lt;=$B$11,OR("D4"&lt;&gt;"D4",$B$4=4),VALUE(RIGHT("D4",1))&lt;=$B$4),"D4","")</x:f>
      </x:c>
      <x:c r="B28" s="117" t="str">
        <x:f>IF(AND(2&lt;=$B$11,OR("D4"&lt;&gt;"D4",$B$4=4),VALUE(RIGHT("D4",1))&lt;=$B$4),2,"")</x:f>
      </x:c>
      <x:c r="C28" s="117" t="str">
        <x:f>IF(AND(2&lt;=$B$11,OR("D4"&lt;&gt;"D4",$B$4=4),VALUE(RIGHT("D4",1))&lt;=$B$4),INDEX('路线模块库'!$D$6:$D$29,MATCH("D4-2",'匹配计算'!$L$6:$L$29,0)),"")</x:f>
      </x:c>
      <x:c r="D28" s="117" t="str">
        <x:f>IF(AND(2&lt;=$B$11,OR("D4"&lt;&gt;"D4",$B$4=4),VALUE(RIGHT("D4",1))&lt;=$B$4),INDEX('路线模块库'!$G$6:$G$29,MATCH("D4-2",'匹配计算'!$L$6:$L$29,0)),"")</x:f>
      </x:c>
      <x:c r="E28" s="117" t="str">
        <x:f>IF(AND(2&lt;=$B$11,OR("D4"&lt;&gt;"D4",$B$4=4),VALUE(RIGHT("D4",1))&lt;=$B$4),INDEX('路线模块库'!$H$6:$H$29,MATCH("D4-2",'匹配计算'!$L$6:$L$29,0)),"")</x:f>
      </x:c>
      <x:c r="F28" s="117" t="str">
        <x:f>IF(AND(2&lt;=$B$11,OR("D4"&lt;&gt;"D4",$B$4=4),VALUE(RIGHT("D4",1))&lt;=$B$4),IF(INDEX('匹配计算'!$W$6:$W$29,MATCH("D4-2",'匹配计算'!$L$6:$L$29,0))="视觉奇观","符合你想看到重庆不可替代立体城市感的目标。",IF(INDEX('匹配计算'!$W$6:$W$29,MATCH("D4-2",'匹配计算'!$L$6:$L$29,0))="历史理解","符合你想理解城市为何如此形成的目标。",IF(INDEX('匹配计算'!$W$6:$W$29,MATCH("D4-2",'匹配计算'!$L$6:$L$29,0))="在地生活","符合你不想只走网红打卡路线的偏好。",IF(INDEX('匹配计算'!$W$6:$W$29,MATCH("D4-2",'匹配计算'!$L$6:$L$29,0))="饮食互动","符合你希望通过饮食进入本地生活的偏好。",IF(INDEX('匹配计算'!$W$6:$W$29,MATCH("D4-2",'匹配计算'!$L$6:$L$29,0))="低摩擦","符合你重视节奏、少走冤枉路和确定性的需要。",IF(INDEX('匹配计算'!$W$6:$W$29,MATCH("D4-2",'匹配计算'!$L$6:$L$29,0))="摄影创作","符合你想获得更有内容的照片或视频素材的目标。",IF(INDEX('匹配计算'!$W$6:$W$29,MATCH("D4-2",'匹配计算'!$L$6:$L$29,0))="亲子教育","符合亲子共同观察和理解城市的需要。",IF(INDEX('匹配计算'!$W$6:$W$29,MATCH("D4-2",'匹配计算'!$L$6:$L$29,0))="复游新鲜感","符合你想避开重复经典、获得新鲜体验的需要。","符合本次行程的基础画像和城市主叙事。")))))))),"")</x:f>
      </x:c>
      <x:c r="G28" s="117" t="str">
        <x:f>IF(AND(2&lt;=$B$11,OR("D4"&lt;&gt;"D4",$B$4=4),VALUE(RIGHT("D4",1))&lt;=$B$4),INDEX('路线模块库'!$I$6:$I$29,MATCH("D4-2",'匹配计算'!$L$6:$L$29,0)),"")</x:f>
      </x:c>
      <x:c r="H28" s="117" t="str">
        <x:f>IF(AND(2&lt;=$B$11,OR("D4"&lt;&gt;"D4",$B$4=4),VALUE(RIGHT("D4",1))&lt;=$B$4),INDEX('路线模块库'!$J$6:$J$29,MATCH("D4-2",'匹配计算'!$L$6:$L$29,0)),"")</x:f>
      </x:c>
      <x:c r="I28" s="117" t="str">
        <x:f>IF(AND(2&lt;=$B$11,OR("D4"&lt;&gt;"D4",$B$4=4),VALUE(RIGHT("D4",1))&lt;=$B$4),INDEX('路线模块库'!$K$6:$K$29,MATCH("D4-2",'匹配计算'!$L$6:$L$29,0)),"")</x:f>
      </x:c>
      <x:c r="J28" s="117" t="str">
        <x:f>IF(AND(2&lt;=$B$11,OR("D4"&lt;&gt;"D4",$B$4=4),VALUE(RIGHT("D4",1))&lt;=$B$4),INDEX('路线模块库'!$AN$6:$AN$29,MATCH("D4-2",'匹配计算'!$L$6:$L$29,0)),"")</x:f>
      </x:c>
    </x:row>
    <x:row r="29" ht="68" customHeight="1">
      <x:c r="A29" s="117" t="str">
        <x:f>IF(AND(3&lt;=$B$11,OR("D4"&lt;&gt;"D4",$B$4=4),VALUE(RIGHT("D4",1))&lt;=$B$4),"D4","")</x:f>
      </x:c>
      <x:c r="B29" s="117" t="str">
        <x:f>IF(AND(3&lt;=$B$11,OR("D4"&lt;&gt;"D4",$B$4=4),VALUE(RIGHT("D4",1))&lt;=$B$4),3,"")</x:f>
      </x:c>
      <x:c r="C29" s="117" t="str">
        <x:f>IF(AND(3&lt;=$B$11,OR("D4"&lt;&gt;"D4",$B$4=4),VALUE(RIGHT("D4",1))&lt;=$B$4),INDEX('路线模块库'!$D$6:$D$29,MATCH("D4-3",'匹配计算'!$L$6:$L$29,0)),"")</x:f>
      </x:c>
      <x:c r="D29" s="117" t="str">
        <x:f>IF(AND(3&lt;=$B$11,OR("D4"&lt;&gt;"D4",$B$4=4),VALUE(RIGHT("D4",1))&lt;=$B$4),INDEX('路线模块库'!$G$6:$G$29,MATCH("D4-3",'匹配计算'!$L$6:$L$29,0)),"")</x:f>
      </x:c>
      <x:c r="E29" s="117" t="str">
        <x:f>IF(AND(3&lt;=$B$11,OR("D4"&lt;&gt;"D4",$B$4=4),VALUE(RIGHT("D4",1))&lt;=$B$4),INDEX('路线模块库'!$H$6:$H$29,MATCH("D4-3",'匹配计算'!$L$6:$L$29,0)),"")</x:f>
      </x:c>
      <x:c r="F29" s="117" t="str">
        <x:f>IF(AND(3&lt;=$B$11,OR("D4"&lt;&gt;"D4",$B$4=4),VALUE(RIGHT("D4",1))&lt;=$B$4),IF(INDEX('匹配计算'!$W$6:$W$29,MATCH("D4-3",'匹配计算'!$L$6:$L$29,0))="视觉奇观","符合你想看到重庆不可替代立体城市感的目标。",IF(INDEX('匹配计算'!$W$6:$W$29,MATCH("D4-3",'匹配计算'!$L$6:$L$29,0))="历史理解","符合你想理解城市为何如此形成的目标。",IF(INDEX('匹配计算'!$W$6:$W$29,MATCH("D4-3",'匹配计算'!$L$6:$L$29,0))="在地生活","符合你不想只走网红打卡路线的偏好。",IF(INDEX('匹配计算'!$W$6:$W$29,MATCH("D4-3",'匹配计算'!$L$6:$L$29,0))="饮食互动","符合你希望通过饮食进入本地生活的偏好。",IF(INDEX('匹配计算'!$W$6:$W$29,MATCH("D4-3",'匹配计算'!$L$6:$L$29,0))="低摩擦","符合你重视节奏、少走冤枉路和确定性的需要。",IF(INDEX('匹配计算'!$W$6:$W$29,MATCH("D4-3",'匹配计算'!$L$6:$L$29,0))="摄影创作","符合你想获得更有内容的照片或视频素材的目标。",IF(INDEX('匹配计算'!$W$6:$W$29,MATCH("D4-3",'匹配计算'!$L$6:$L$29,0))="亲子教育","符合亲子共同观察和理解城市的需要。",IF(INDEX('匹配计算'!$W$6:$W$29,MATCH("D4-3",'匹配计算'!$L$6:$L$29,0))="复游新鲜感","符合你想避开重复经典、获得新鲜体验的需要。","符合本次行程的基础画像和城市主叙事。")))))))),"")</x:f>
      </x:c>
      <x:c r="G29" s="117" t="str">
        <x:f>IF(AND(3&lt;=$B$11,OR("D4"&lt;&gt;"D4",$B$4=4),VALUE(RIGHT("D4",1))&lt;=$B$4),INDEX('路线模块库'!$I$6:$I$29,MATCH("D4-3",'匹配计算'!$L$6:$L$29,0)),"")</x:f>
      </x:c>
      <x:c r="H29" s="117" t="str">
        <x:f>IF(AND(3&lt;=$B$11,OR("D4"&lt;&gt;"D4",$B$4=4),VALUE(RIGHT("D4",1))&lt;=$B$4),INDEX('路线模块库'!$J$6:$J$29,MATCH("D4-3",'匹配计算'!$L$6:$L$29,0)),"")</x:f>
      </x:c>
      <x:c r="I29" s="117" t="str">
        <x:f>IF(AND(3&lt;=$B$11,OR("D4"&lt;&gt;"D4",$B$4=4),VALUE(RIGHT("D4",1))&lt;=$B$4),INDEX('路线模块库'!$K$6:$K$29,MATCH("D4-3",'匹配计算'!$L$6:$L$29,0)),"")</x:f>
      </x:c>
      <x:c r="J29" s="117" t="str">
        <x:f>IF(AND(3&lt;=$B$11,OR("D4"&lt;&gt;"D4",$B$4=4),VALUE(RIGHT("D4",1))&lt;=$B$4),INDEX('路线模块库'!$AN$6:$AN$29,MATCH("D4-3",'匹配计算'!$L$6:$L$29,0)),"")</x:f>
      </x:c>
    </x:row>
    <x:row r="30" ht="68" customHeight="1">
      <x:c r="A30" s="117" t="str">
        <x:f>IF(AND(4&lt;=$B$11,OR("D4"&lt;&gt;"D4",$B$4=4),VALUE(RIGHT("D4",1))&lt;=$B$4),"D4","")</x:f>
      </x:c>
      <x:c r="B30" s="117" t="str">
        <x:f>IF(AND(4&lt;=$B$11,OR("D4"&lt;&gt;"D4",$B$4=4),VALUE(RIGHT("D4",1))&lt;=$B$4),4,"")</x:f>
      </x:c>
      <x:c r="C30" s="117" t="str">
        <x:f>IF(AND(4&lt;=$B$11,OR("D4"&lt;&gt;"D4",$B$4=4),VALUE(RIGHT("D4",1))&lt;=$B$4),INDEX('路线模块库'!$D$6:$D$29,MATCH("D4-4",'匹配计算'!$L$6:$L$29,0)),"")</x:f>
      </x:c>
      <x:c r="D30" s="117" t="str">
        <x:f>IF(AND(4&lt;=$B$11,OR("D4"&lt;&gt;"D4",$B$4=4),VALUE(RIGHT("D4",1))&lt;=$B$4),INDEX('路线模块库'!$G$6:$G$29,MATCH("D4-4",'匹配计算'!$L$6:$L$29,0)),"")</x:f>
      </x:c>
      <x:c r="E30" s="117" t="str">
        <x:f>IF(AND(4&lt;=$B$11,OR("D4"&lt;&gt;"D4",$B$4=4),VALUE(RIGHT("D4",1))&lt;=$B$4),INDEX('路线模块库'!$H$6:$H$29,MATCH("D4-4",'匹配计算'!$L$6:$L$29,0)),"")</x:f>
      </x:c>
      <x:c r="F30" s="117" t="str">
        <x:f>IF(AND(4&lt;=$B$11,OR("D4"&lt;&gt;"D4",$B$4=4),VALUE(RIGHT("D4",1))&lt;=$B$4),IF(INDEX('匹配计算'!$W$6:$W$29,MATCH("D4-4",'匹配计算'!$L$6:$L$29,0))="视觉奇观","符合你想看到重庆不可替代立体城市感的目标。",IF(INDEX('匹配计算'!$W$6:$W$29,MATCH("D4-4",'匹配计算'!$L$6:$L$29,0))="历史理解","符合你想理解城市为何如此形成的目标。",IF(INDEX('匹配计算'!$W$6:$W$29,MATCH("D4-4",'匹配计算'!$L$6:$L$29,0))="在地生活","符合你不想只走网红打卡路线的偏好。",IF(INDEX('匹配计算'!$W$6:$W$29,MATCH("D4-4",'匹配计算'!$L$6:$L$29,0))="饮食互动","符合你希望通过饮食进入本地生活的偏好。",IF(INDEX('匹配计算'!$W$6:$W$29,MATCH("D4-4",'匹配计算'!$L$6:$L$29,0))="低摩擦","符合你重视节奏、少走冤枉路和确定性的需要。",IF(INDEX('匹配计算'!$W$6:$W$29,MATCH("D4-4",'匹配计算'!$L$6:$L$29,0))="摄影创作","符合你想获得更有内容的照片或视频素材的目标。",IF(INDEX('匹配计算'!$W$6:$W$29,MATCH("D4-4",'匹配计算'!$L$6:$L$29,0))="亲子教育","符合亲子共同观察和理解城市的需要。",IF(INDEX('匹配计算'!$W$6:$W$29,MATCH("D4-4",'匹配计算'!$L$6:$L$29,0))="复游新鲜感","符合你想避开重复经典、获得新鲜体验的需要。","符合本次行程的基础画像和城市主叙事。")))))))),"")</x:f>
      </x:c>
      <x:c r="G30" s="117" t="str">
        <x:f>IF(AND(4&lt;=$B$11,OR("D4"&lt;&gt;"D4",$B$4=4),VALUE(RIGHT("D4",1))&lt;=$B$4),INDEX('路线模块库'!$I$6:$I$29,MATCH("D4-4",'匹配计算'!$L$6:$L$29,0)),"")</x:f>
      </x:c>
      <x:c r="H30" s="117" t="str">
        <x:f>IF(AND(4&lt;=$B$11,OR("D4"&lt;&gt;"D4",$B$4=4),VALUE(RIGHT("D4",1))&lt;=$B$4),INDEX('路线模块库'!$J$6:$J$29,MATCH("D4-4",'匹配计算'!$L$6:$L$29,0)),"")</x:f>
      </x:c>
      <x:c r="I30" s="117" t="str">
        <x:f>IF(AND(4&lt;=$B$11,OR("D4"&lt;&gt;"D4",$B$4=4),VALUE(RIGHT("D4",1))&lt;=$B$4),INDEX('路线模块库'!$K$6:$K$29,MATCH("D4-4",'匹配计算'!$L$6:$L$29,0)),"")</x:f>
      </x:c>
      <x:c r="J30" s="117" t="str">
        <x:f>IF(AND(4&lt;=$B$11,OR("D4"&lt;&gt;"D4",$B$4=4),VALUE(RIGHT("D4",1))&lt;=$B$4),INDEX('路线模块库'!$AN$6:$AN$29,MATCH("D4-4",'匹配计算'!$L$6:$L$29,0)),"")</x:f>
      </x:c>
    </x:row>
  </x:sheetData>
  <x:mergeCells>
    <x:mergeCell ref="A1:J1"/>
    <x:mergeCell ref="A2:J2"/>
    <x:mergeCell ref="C4:J4"/>
    <x:mergeCell ref="C5:J5"/>
    <x:mergeCell ref="C6:J6"/>
    <x:mergeCell ref="C7:J7"/>
    <x:mergeCell ref="C8:J8"/>
    <x:mergeCell ref="C9:J9"/>
    <x:mergeCell ref="D11:J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4" hidden="0" customWidth="1"/>
    <x:col min="4" max="4" width="24" hidden="0" customWidth="1"/>
    <x:col min="5" max="5" width="19" hidden="0" customWidth="1"/>
    <x:col min="6" max="6" width="19" hidden="0" customWidth="1"/>
    <x:col min="7" max="7" width="29" hidden="0" customWidth="1"/>
    <x:col min="8" max="8" width="37" hidden="0" customWidth="1"/>
    <x:col min="9" max="9" width="37" hidden="0" customWidth="1"/>
    <x:col min="10" max="10" width="31" hidden="0" customWidth="1"/>
    <x:col min="11" max="11" width="12" hidden="0" customWidth="1"/>
    <x:col min="12" max="12" width="10" hidden="0" customWidth="1"/>
    <x:col min="13" max="13" width="12" hidden="0" customWidth="1"/>
    <x:col min="14" max="14" width="12"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2" hidden="0" customWidth="1"/>
    <x:col min="23" max="23" width="17" hidden="0" customWidth="1"/>
    <x:col min="24" max="24" width="14" hidden="0" customWidth="1"/>
    <x:col min="25" max="25" width="34" hidden="0" customWidth="1"/>
    <x:col min="26" max="26" width="34" hidden="0" customWidth="1"/>
    <x:col min="27" max="27" width="38" hidden="0" customWidth="1"/>
    <x:col min="28" max="28" width="38"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2" hidden="0" customWidth="1"/>
    <x:col min="37" max="37" width="38" hidden="0" customWidth="1"/>
    <x:col min="38" max="38" width="34" hidden="0" customWidth="1"/>
    <x:col min="39" max="39" width="44" hidden="0" customWidth="1"/>
    <x:col min="40" max="40" width="40" hidden="0" customWidth="1"/>
  </x:cols>
  <x:sheetData>
    <x:row r="1" ht="32" customHeight="1">
      <x:c r="A1" s="3" t="str">
        <x:v>重庆主城｜路线模块库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30" customHeight="1">
      <x:c r="A2" s="7" t="str">
        <x:v>模块才是游客输出的基本单位。一个模块只承担一个核心解释，并绑定节点、观察任务、时长、风险和删减规则。</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5" ht="34" customHeight="1">
      <x:c r="A5" s="11" t="str">
        <x:v>模块ID</x:v>
      </x:c>
      <x:c r="B5" s="11" t="str">
        <x:v>默认日</x:v>
      </x:c>
      <x:c r="C5" s="11" t="str">
        <x:v>路线版本</x:v>
      </x:c>
      <x:c r="D5" s="11" t="str">
        <x:v>模块名称</x:v>
      </x:c>
      <x:c r="E5" s="11" t="str">
        <x:v>内容角色</x:v>
      </x:c>
      <x:c r="F5" s="11" t="str">
        <x:v>点位ID</x:v>
      </x:c>
      <x:c r="G5" s="11" t="str">
        <x:v>核心节点</x:v>
      </x:c>
      <x:c r="H5" s="11" t="str">
        <x:v>给游客的承诺</x:v>
      </x:c>
      <x:c r="I5" s="11" t="str">
        <x:v>只讲一个核心解释</x:v>
      </x:c>
      <x:c r="J5" s="11" t="str">
        <x:v>游客观察任务</x:v>
      </x:c>
      <x:c r="K5" s="11" t="str">
        <x:v>时长(分钟)</x:v>
      </x:c>
      <x:c r="L5" s="11" t="str">
        <x:v>体力1-3</x:v>
      </x:c>
      <x:c r="M5" s="11" t="str">
        <x:v>雨天适配1-3</x:v>
      </x:c>
      <x:c r="N5" s="11" t="str">
        <x:v>炎热适配1-3</x:v>
      </x:c>
      <x:c r="O5" s="11" t="str">
        <x:v>首次经典</x:v>
      </x:c>
      <x:c r="P5" s="11" t="str">
        <x:v>赛博摄影</x:v>
      </x:c>
      <x:c r="Q5" s="11" t="str">
        <x:v>文化历史</x:v>
      </x:c>
      <x:c r="R5" s="11" t="str">
        <x:v>美食生活</x:v>
      </x:c>
      <x:c r="S5" s="11" t="str">
        <x:v>亲子轻松</x:v>
      </x:c>
      <x:c r="T5" s="11" t="str">
        <x:v>复游客</x:v>
      </x:c>
      <x:c r="U5" s="11" t="str">
        <x:v>付费潜力</x:v>
      </x:c>
      <x:c r="V5" s="11" t="str">
        <x:v>基础优先分</x:v>
      </x:c>
      <x:c r="W5" s="11" t="str">
        <x:v>重复组</x:v>
      </x:c>
      <x:c r="X5" s="11" t="str">
        <x:v>默认状态</x:v>
      </x:c>
      <x:c r="Y5" s="11" t="str">
        <x:v>来源URL</x:v>
      </x:c>
      <x:c r="Z5" s="11" t="str">
        <x:v>内部删减规则</x:v>
      </x:c>
      <x:c r="AA5" s="11" t="str">
        <x:v>显性意图标签</x:v>
      </x:c>
      <x:c r="AB5" s="11" t="str">
        <x:v>潜在意图标签</x:v>
      </x:c>
      <x:c r="AC5" s="11" t="str">
        <x:v>视觉奇观</x:v>
      </x:c>
      <x:c r="AD5" s="11" t="str">
        <x:v>历史理解</x:v>
      </x:c>
      <x:c r="AE5" s="11" t="str">
        <x:v>在地生活</x:v>
      </x:c>
      <x:c r="AF5" s="11" t="str">
        <x:v>饮食互动</x:v>
      </x:c>
      <x:c r="AG5" s="11" t="str">
        <x:v>低摩擦</x:v>
      </x:c>
      <x:c r="AH5" s="11" t="str">
        <x:v>摄影创作</x:v>
      </x:c>
      <x:c r="AI5" s="11" t="str">
        <x:v>亲子教育</x:v>
      </x:c>
      <x:c r="AJ5" s="11" t="str">
        <x:v>复游新鲜感</x:v>
      </x:c>
      <x:c r="AK5" s="11" t="str">
        <x:v>禁止/降级条件</x:v>
      </x:c>
      <x:c r="AL5" s="11" t="str">
        <x:v>必须确认字段</x:v>
      </x:c>
      <x:c r="AM5" s="11" t="str">
        <x:v>智能体检索摘要</x:v>
      </x:c>
      <x:c r="AN5" s="11" t="str">
        <x:v>对客现实提醒</x:v>
      </x:c>
    </x:row>
    <x:row r="6" ht="64" customHeight="1">
      <x:c r="A6" s="19" t="str">
        <x:v>RM01</x:v>
      </x:c>
      <x:c r="B6" s="19" t="str">
        <x:v>D1</x:v>
      </x:c>
      <x:c r="C6" s="19" t="str">
        <x:v>核心</x:v>
      </x:c>
      <x:c r="D6" s="19" t="str">
        <x:v>城市坐标与宗教夹层</x:v>
      </x:c>
      <x:c r="E6" s="19" t="str">
        <x:v>核心解释</x:v>
      </x:c>
      <x:c r="F6" s="19" t="str">
        <x:v>CQ001|CQ002</x:v>
      </x:c>
      <x:c r="G6" s="19" t="str">
        <x:v>解放碑—罗汉寺</x:v>
      </x:c>
      <x:c r="H6" s="19" t="str">
        <x:v>先建立方向，再感受摩天楼夹缝中的宗教空间。</x:v>
      </x:c>
      <x:c r="I6" s="19" t="str">
        <x:v>重庆的奇观不是只有高楼，而是不同秩序并置。</x:v>
      </x:c>
      <x:c r="J6" s="19" t="str">
        <x:v>站在寺门内外比较声音、光线和步速。</x:v>
      </x:c>
      <x:c r="K6" s="22" t="n">
        <x:v>75</x:v>
      </x:c>
      <x:c r="L6" s="22" t="n">
        <x:v>1</x:v>
      </x:c>
      <x:c r="M6" s="22" t="n">
        <x:v>3</x:v>
      </x:c>
      <x:c r="N6" s="22" t="n">
        <x:v>3</x:v>
      </x:c>
      <x:c r="O6" s="22" t="n">
        <x:v>5</x:v>
      </x:c>
      <x:c r="P6" s="22" t="n">
        <x:v>3</x:v>
      </x:c>
      <x:c r="Q6" s="22" t="n">
        <x:v>3</x:v>
      </x:c>
      <x:c r="R6" s="22" t="n">
        <x:v>2</x:v>
      </x:c>
      <x:c r="S6" s="22" t="n">
        <x:v>4</x:v>
      </x:c>
      <x:c r="T6" s="22" t="n">
        <x:v>2</x:v>
      </x:c>
      <x:c r="U6" s="22" t="n">
        <x:v>3</x:v>
      </x:c>
      <x:c r="V6" s="22" t="n">
        <x:v>84</x:v>
      </x:c>
      <x:c r="W6" s="19" t="str">
        <x:v>城市定位</x:v>
      </x:c>
      <x:c r="X6" s="19" t="str">
        <x:v>条件保留</x:v>
      </x:c>
      <x:c r="Y6" s="19" t="str">
        <x:v>https://doi.org/10.17645/up.v7i4.5810</x:v>
      </x:c>
      <x:c r="Z6" s="19" t="str">
        <x:v>若行程不足48小时，可并入RM02简述</x:v>
      </x:c>
      <x:c r="AA6" s="19" t="str">
        <x:v>第一次来|解放碑|罗汉寺|城市定位</x:v>
      </x:c>
      <x:c r="AB6" s="19" t="str">
        <x:v>想先搞懂方向|不想只拍照</x:v>
      </x:c>
      <x:c r="AC6" s="22" t="n">
        <x:v>2</x:v>
      </x:c>
      <x:c r="AD6" s="22" t="n">
        <x:v>4</x:v>
      </x:c>
      <x:c r="AE6" s="22" t="n">
        <x:v>2</x:v>
      </x:c>
      <x:c r="AF6" s="22" t="n">
        <x:v>1</x:v>
      </x:c>
      <x:c r="AG6" s="22" t="n">
        <x:v>4</x:v>
      </x:c>
      <x:c r="AH6" s="22" t="n">
        <x:v>2</x:v>
      </x:c>
      <x:c r="AI6" s="22" t="n">
        <x:v>3</x:v>
      </x:c>
      <x:c r="AJ6" s="22" t="n">
        <x:v>2</x:v>
      </x:c>
      <x:c r="AK6" s="19" t="str">
        <x:v>行程极短时可并入下一模块</x:v>
      </x:c>
      <x:c r="AL6" s="19" t="str">
        <x:v>无</x:v>
      </x:c>
      <x:c r="AM6" s="19" t="str">
        <x:v>先建立城市坐标，再解释高楼与寺庙为何并置。</x:v>
      </x:c>
      <x:c r="AN6" s="19" t="str">
        <x:v>时间不足时可和下一段立体城市体验合并。</x:v>
      </x:c>
    </x:row>
    <x:row r="7" ht="64" customHeight="1">
      <x:c r="A7" s="20" t="str">
        <x:v>RM02</x:v>
      </x:c>
      <x:c r="B7" s="20" t="str">
        <x:v>D1</x:v>
      </x:c>
      <x:c r="C7" s="20" t="str">
        <x:v>核心</x:v>
      </x:c>
      <x:c r="D7" s="20" t="str">
        <x:v>多重地面实验</x:v>
      </x:c>
      <x:c r="E7" s="20" t="str">
        <x:v>引流钩子</x:v>
      </x:c>
      <x:c r="F7" s="20" t="str">
        <x:v>CQ003</x:v>
      </x:c>
      <x:c r="G7" s="20" t="str">
        <x:v>魁星楼与高差平台</x:v>
      </x:c>
      <x:c r="H7" s="20" t="str">
        <x:v>亲自验证“22层也是地面”，这是重庆最有效的第一记忆点。</x:v>
      </x:c>
      <x:c r="I7" s="20" t="str">
        <x:v>山地让城市拥有多个同时成立的地面。</x:v>
      </x:c>
      <x:c r="J7" s="20" t="str">
        <x:v>先猜楼层，再换一个出口验证。</x:v>
      </x:c>
      <x:c r="K7" s="23" t="n">
        <x:v>40</x:v>
      </x:c>
      <x:c r="L7" s="23" t="n">
        <x:v>1</x:v>
      </x:c>
      <x:c r="M7" s="23" t="n">
        <x:v>2</x:v>
      </x:c>
      <x:c r="N7" s="23" t="n">
        <x:v>3</x:v>
      </x:c>
      <x:c r="O7" s="23" t="n">
        <x:v>5</x:v>
      </x:c>
      <x:c r="P7" s="23" t="n">
        <x:v>5</x:v>
      </x:c>
      <x:c r="Q7" s="23" t="n">
        <x:v>3</x:v>
      </x:c>
      <x:c r="R7" s="23" t="n">
        <x:v>2</x:v>
      </x:c>
      <x:c r="S7" s="23" t="n">
        <x:v>4</x:v>
      </x:c>
      <x:c r="T7" s="23" t="n">
        <x:v>3</x:v>
      </x:c>
      <x:c r="U7" s="23" t="n">
        <x:v>4</x:v>
      </x:c>
      <x:c r="V7" s="23" t="n">
        <x:v>98</x:v>
      </x:c>
      <x:c r="W7" s="20" t="str">
        <x:v>立体空间</x:v>
      </x:c>
      <x:c r="X7" s="20" t="str">
        <x:v>必须输出</x:v>
      </x:c>
      <x:c r="Y7" s="20" t="str">
        <x:v>https://doi.org/10.17645/up.v7i4.5810</x:v>
      </x:c>
      <x:c r="Z7" s="20" t="str">
        <x:v>只拍照、不做楼层验证时价值减半</x:v>
      </x:c>
      <x:c r="AA7" s="20" t="str">
        <x:v>赛博朋克|立体城市|魁星楼|特别的城市感</x:v>
      </x:c>
      <x:c r="AB7" s="20" t="str">
        <x:v>想迅速获得震撼|想验证城市奇观</x:v>
      </x:c>
      <x:c r="AC7" s="23" t="n">
        <x:v>5</x:v>
      </x:c>
      <x:c r="AD7" s="23" t="n">
        <x:v>2</x:v>
      </x:c>
      <x:c r="AE7" s="23" t="n">
        <x:v>1</x:v>
      </x:c>
      <x:c r="AF7" s="23" t="n">
        <x:v>1</x:v>
      </x:c>
      <x:c r="AG7" s="23" t="n">
        <x:v>4</x:v>
      </x:c>
      <x:c r="AH7" s="23" t="n">
        <x:v>5</x:v>
      </x:c>
      <x:c r="AI7" s="23" t="n">
        <x:v>4</x:v>
      </x:c>
      <x:c r="AJ7" s="23" t="n">
        <x:v>3</x:v>
      </x:c>
      <x:c r="AK7" s="20" t="str">
        <x:v>严重恐高或不愿换乘楼层时降级</x:v>
      </x:c>
      <x:c r="AL7" s="20" t="str">
        <x:v>恐高程度</x:v>
      </x:c>
      <x:c r="AM7" s="20" t="str">
        <x:v>用一个可亲自验证的多重地面现象建立第一记忆点。</x:v>
      </x:c>
      <x:c r="AN7" s="20" t="str">
        <x:v>若有恐高请提前说明；现场不需要靠近边缘。</x:v>
      </x:c>
    </x:row>
    <x:row r="8" ht="64" customHeight="1">
      <x:c r="A8" s="20" t="str">
        <x:v>RM03</x:v>
      </x:c>
      <x:c r="B8" s="20" t="str">
        <x:v>D1</x:v>
      </x:c>
      <x:c r="C8" s="20" t="str">
        <x:v>核心</x:v>
      </x:c>
      <x:c r="D8" s="20" t="str">
        <x:v>两江门户</x:v>
      </x:c>
      <x:c r="E8" s="20" t="str">
        <x:v>核心解释</x:v>
      </x:c>
      <x:c r="F8" s="20" t="str">
        <x:v>CQ004</x:v>
      </x:c>
      <x:c r="G8" s="20" t="str">
        <x:v>朝天门—两江交汇</x:v>
      </x:c>
      <x:c r="H8" s="20" t="str">
        <x:v>从城市门户和两江方向理解重庆为什么生长在这里。</x:v>
      </x:c>
      <x:c r="I8" s="20" t="str">
        <x:v>朝天门首先是城门和码头，其次才是现代天际线。</x:v>
      </x:c>
      <x:c r="J8" s="20" t="str">
        <x:v>在江岸重建长江、嘉陵江和半岛方向。</x:v>
      </x:c>
      <x:c r="K8" s="23" t="n">
        <x:v>75</x:v>
      </x:c>
      <x:c r="L8" s="23" t="n">
        <x:v>2</x:v>
      </x:c>
      <x:c r="M8" s="23" t="n">
        <x:v>2</x:v>
      </x:c>
      <x:c r="N8" s="23" t="n">
        <x:v>2</x:v>
      </x:c>
      <x:c r="O8" s="23" t="n">
        <x:v>5</x:v>
      </x:c>
      <x:c r="P8" s="23" t="n">
        <x:v>4</x:v>
      </x:c>
      <x:c r="Q8" s="23" t="n">
        <x:v>5</x:v>
      </x:c>
      <x:c r="R8" s="23" t="n">
        <x:v>2</x:v>
      </x:c>
      <x:c r="S8" s="23" t="n">
        <x:v>4</x:v>
      </x:c>
      <x:c r="T8" s="23" t="n">
        <x:v>3</x:v>
      </x:c>
      <x:c r="U8" s="23" t="n">
        <x:v>4</x:v>
      </x:c>
      <x:c r="V8" s="23" t="n">
        <x:v>92</x:v>
      </x:c>
      <x:c r="W8" s="20" t="str">
        <x:v>两江门户</x:v>
      </x:c>
      <x:c r="X8" s="20" t="str">
        <x:v>必须输出</x:v>
      </x:c>
      <x:c r="Y8" s="20" t="str">
        <x:v>https://www.cq.gov.cn/ywdt/zwhd/qxdt/202009/t20200907_8628081.html</x:v>
      </x:c>
      <x:c r="Z8" s="20" t="str">
        <x:v>地下出口或江岸入口不稳定时缩短</x:v>
      </x:c>
      <x:c r="AA8" s="20" t="str">
        <x:v>朝天门|两江|来福士|城市起源</x:v>
      </x:c>
      <x:c r="AB8" s="20" t="str">
        <x:v>想知道重庆为什么长在这里|需要方向感</x:v>
      </x:c>
      <x:c r="AC8" s="23" t="n">
        <x:v>4</x:v>
      </x:c>
      <x:c r="AD8" s="23" t="n">
        <x:v>4</x:v>
      </x:c>
      <x:c r="AE8" s="23" t="n">
        <x:v>2</x:v>
      </x:c>
      <x:c r="AF8" s="23" t="n">
        <x:v>1</x:v>
      </x:c>
      <x:c r="AG8" s="23" t="n">
        <x:v>3</x:v>
      </x:c>
      <x:c r="AH8" s="23" t="n">
        <x:v>4</x:v>
      </x:c>
      <x:c r="AI8" s="23" t="n">
        <x:v>3</x:v>
      </x:c>
      <x:c r="AJ8" s="23" t="n">
        <x:v>2</x:v>
      </x:c>
      <x:c r="AK8" s="20" t="str">
        <x:v>江岸入口不稳或时间不足时缩短</x:v>
      </x:c>
      <x:c r="AL8" s="20" t="str">
        <x:v>步行与江岸可达性</x:v>
      </x:c>
      <x:c r="AM8" s="20" t="str">
        <x:v>用城门、码头和两江方向解释城市起点。</x:v>
      </x:c>
      <x:c r="AN8" s="20" t="str">
        <x:v>江岸入口和步行距离需按当天开放情况调整。</x:v>
      </x:c>
    </x:row>
    <x:row r="9" ht="64" customHeight="1">
      <x:c r="A9" s="20" t="str">
        <x:v>RM04</x:v>
      </x:c>
      <x:c r="B9" s="20" t="str">
        <x:v>D1</x:v>
      </x:c>
      <x:c r="C9" s="20" t="str">
        <x:v>核心</x:v>
      </x:c>
      <x:c r="D9" s="20" t="str">
        <x:v>夜景读图：不挤进洪崖洞</x:v>
      </x:c>
      <x:c r="E9" s="20" t="str">
        <x:v>引流钩子</x:v>
      </x:c>
      <x:c r="F9" s="20" t="str">
        <x:v>CQ005|CQ006|CQ007</x:v>
      </x:c>
      <x:c r="G9" s="20" t="str">
        <x:v>戴家巷—洪崖洞外观—大剧院江岸</x:v>
      </x:c>
      <x:c r="H9" s="20" t="str">
        <x:v>从对岸把桥、江、崖、楼群和灯光读成一张城市剖面。</x:v>
      </x:c>
      <x:c r="I9" s="20" t="str">
        <x:v>洪崖洞是视觉入口，不是必须逛完的内部商业综合体。</x:v>
      </x:c>
      <x:c r="J9" s="20" t="str">
        <x:v>指出当天走过的山脊、江岸和桥。</x:v>
      </x:c>
      <x:c r="K9" s="23" t="n">
        <x:v>150</x:v>
      </x:c>
      <x:c r="L9" s="23" t="n">
        <x:v>2</x:v>
      </x:c>
      <x:c r="M9" s="23" t="n">
        <x:v>2</x:v>
      </x:c>
      <x:c r="N9" s="23" t="n">
        <x:v>2</x:v>
      </x:c>
      <x:c r="O9" s="23" t="n">
        <x:v>5</x:v>
      </x:c>
      <x:c r="P9" s="23" t="n">
        <x:v>5</x:v>
      </x:c>
      <x:c r="Q9" s="23" t="n">
        <x:v>3</x:v>
      </x:c>
      <x:c r="R9" s="23" t="n">
        <x:v>3</x:v>
      </x:c>
      <x:c r="S9" s="23" t="n">
        <x:v>5</x:v>
      </x:c>
      <x:c r="T9" s="23" t="n">
        <x:v>3</x:v>
      </x:c>
      <x:c r="U9" s="23" t="n">
        <x:v>5</x:v>
      </x:c>
      <x:c r="V9" s="23" t="n">
        <x:v>100</x:v>
      </x:c>
      <x:c r="W9" s="20" t="str">
        <x:v>夜景/观景</x:v>
      </x:c>
      <x:c r="X9" s="20" t="str">
        <x:v>必须输出</x:v>
      </x:c>
      <x:c r="Y9" s="20" t="str">
        <x:v>https://www.cq.gov.cn/ywdt/jrcq/202605/t20260531_15716501_app.html</x:v>
      </x:c>
      <x:c r="Z9" s="20" t="str">
        <x:v>无人机无当日官方排期即删除；内部限时</x:v>
      </x:c>
      <x:c r="AA9" s="20" t="str">
        <x:v>洪崖洞|夜景|千厮门大桥|拍照</x:v>
      </x:c>
      <x:c r="AB9" s="20" t="str">
        <x:v>既要代表性照片又不想挤|担心踩网红坑</x:v>
      </x:c>
      <x:c r="AC9" s="23" t="n">
        <x:v>5</x:v>
      </x:c>
      <x:c r="AD9" s="23" t="n">
        <x:v>2</x:v>
      </x:c>
      <x:c r="AE9" s="23" t="n">
        <x:v>1</x:v>
      </x:c>
      <x:c r="AF9" s="23" t="n">
        <x:v>1</x:v>
      </x:c>
      <x:c r="AG9" s="23" t="n">
        <x:v>3</x:v>
      </x:c>
      <x:c r="AH9" s="23" t="n">
        <x:v>5</x:v>
      </x:c>
      <x:c r="AI9" s="23" t="n">
        <x:v>3</x:v>
      </x:c>
      <x:c r="AJ9" s="23" t="n">
        <x:v>2</x:v>
      </x:c>
      <x:c r="AK9" s="20" t="str">
        <x:v>雨雾、拥挤或灯光动态变化时改为条件输出</x:v>
      </x:c>
      <x:c r="AL9" s="20" t="str">
        <x:v>夜间结束时间|是否接受人流</x:v>
      </x:c>
      <x:c r="AM9" s="20" t="str">
        <x:v>从对岸读完整城市剖面，不把时间耗在内部商业空间。</x:v>
      </x:c>
      <x:c r="AN9" s="20" t="str">
        <x:v>夜间人流较大；灯光和无人机安排以当日官方信息为准。</x:v>
      </x:c>
    </x:row>
    <x:row r="10" ht="64" customHeight="1">
      <x:c r="A10" s="20" t="str">
        <x:v>RM05</x:v>
      </x:c>
      <x:c r="B10" s="20" t="str">
        <x:v>D1</x:v>
      </x:c>
      <x:c r="C10" s="20" t="str">
        <x:v>补充</x:v>
      </x:c>
      <x:c r="D10" s="20" t="str">
        <x:v>索道或两江游低体力替代</x:v>
      </x:c>
      <x:c r="E10" s="20" t="str">
        <x:v>条件体验</x:v>
      </x:c>
      <x:c r="F10" s="20" t="str">
        <x:v>CQ034|CQ035</x:v>
      </x:c>
      <x:c r="G10" s="20" t="str">
        <x:v>长江索道/重庆两江游</x:v>
      </x:c>
      <x:c r="H10" s="20" t="str">
        <x:v>用较少步行获得跨江或夜景体验。</x:v>
      </x:c>
      <x:c r="I10" s="20" t="str">
        <x:v>它们解决的是体力和视角，不是更深的城市理解。</x:v>
      </x:c>
      <x:c r="J10" s="20" t="str">
        <x:v>比较移动中与固定江岸的视角差异。</x:v>
      </x:c>
      <x:c r="K10" s="23" t="n">
        <x:v>90</x:v>
      </x:c>
      <x:c r="L10" s="23" t="n">
        <x:v>1</x:v>
      </x:c>
      <x:c r="M10" s="23" t="n">
        <x:v>2</x:v>
      </x:c>
      <x:c r="N10" s="23" t="n">
        <x:v>3</x:v>
      </x:c>
      <x:c r="O10" s="23" t="n">
        <x:v>3</x:v>
      </x:c>
      <x:c r="P10" s="23" t="n">
        <x:v>4</x:v>
      </x:c>
      <x:c r="Q10" s="23" t="n">
        <x:v>2</x:v>
      </x:c>
      <x:c r="R10" s="23" t="n">
        <x:v>2</x:v>
      </x:c>
      <x:c r="S10" s="23" t="n">
        <x:v>5</x:v>
      </x:c>
      <x:c r="T10" s="23" t="n">
        <x:v>2</x:v>
      </x:c>
      <x:c r="U10" s="23" t="n">
        <x:v>4</x:v>
      </x:c>
      <x:c r="V10" s="23" t="n">
        <x:v>58</x:v>
      </x:c>
      <x:c r="W10" s="20" t="str">
        <x:v>夜景/观景</x:v>
      </x:c>
      <x:c r="X10" s="20" t="str">
        <x:v>按条件</x:v>
      </x:c>
      <x:c r="Y10" s="20" t="str">
        <x:v>https://www.cqsuodao.com/zhangjiangsuodao.html</x:v>
      </x:c>
      <x:c r="Z10" s="20" t="str">
        <x:v>排队过长、天气差或已有RM04时优先删除</x:v>
      </x:c>
      <x:c r="AA10" s="20" t="str">
        <x:v>索道|游船|少走路|长辈</x:v>
      </x:c>
      <x:c r="AB10" s="20" t="str">
        <x:v>想降低体力消耗|需要舒适和确定性</x:v>
      </x:c>
      <x:c r="AC10" s="23" t="n">
        <x:v>4</x:v>
      </x:c>
      <x:c r="AD10" s="23" t="n">
        <x:v>1</x:v>
      </x:c>
      <x:c r="AE10" s="23" t="n">
        <x:v>1</x:v>
      </x:c>
      <x:c r="AF10" s="23" t="n">
        <x:v>1</x:v>
      </x:c>
      <x:c r="AG10" s="23" t="n">
        <x:v>5</x:v>
      </x:c>
      <x:c r="AH10" s="23" t="n">
        <x:v>4</x:v>
      </x:c>
      <x:c r="AI10" s="23" t="n">
        <x:v>4</x:v>
      </x:c>
      <x:c r="AJ10" s="23" t="n">
        <x:v>1</x:v>
      </x:c>
      <x:c r="AK10" s="20" t="str">
        <x:v>排队过长、天气差或已安排同类夜景时删除</x:v>
      </x:c>
      <x:c r="AL10" s="20" t="str">
        <x:v>排队容忍度|恐高</x:v>
      </x:c>
      <x:c r="AM10" s="20" t="str">
        <x:v>用移动视角换取低步行体验，但不冒充深度内容。</x:v>
      </x:c>
      <x:c r="AN10" s="20" t="str">
        <x:v>索道和游船可能排队，天气不佳时会改用固定江岸视角。</x:v>
      </x:c>
    </x:row>
    <x:row r="11" ht="64" customHeight="1">
      <x:c r="A11" s="20" t="str">
        <x:v>RM06</x:v>
      </x:c>
      <x:c r="B11" s="20" t="str">
        <x:v>D1</x:v>
      </x:c>
      <x:c r="C11" s="20" t="str">
        <x:v>补充</x:v>
      </x:c>
      <x:c r="D11" s="20" t="str">
        <x:v>本地年轻夜生活</x:v>
      </x:c>
      <x:c r="E11" s="20" t="str">
        <x:v>真实生活</x:v>
      </x:c>
      <x:c r="F11" s="20" t="str">
        <x:v>CQ037</x:v>
      </x:c>
      <x:c r="G11" s="20" t="str">
        <x:v>观音桥夜间消费区</x:v>
      </x:c>
      <x:c r="H11" s="20" t="str">
        <x:v>把游客区之外的年轻消费、餐饮和社交纳入城市体验。</x:v>
      </x:c>
      <x:c r="I11" s="20" t="str">
        <x:v>这不是历史景点，而是当代重庆人的夜间日常。</x:v>
      </x:c>
      <x:c r="J11" s="20" t="str">
        <x:v>观察不同街区人群、价格和停留方式。</x:v>
      </x:c>
      <x:c r="K11" s="23" t="n">
        <x:v>90</x:v>
      </x:c>
      <x:c r="L11" s="23" t="n">
        <x:v>1</x:v>
      </x:c>
      <x:c r="M11" s="23" t="n">
        <x:v>3</x:v>
      </x:c>
      <x:c r="N11" s="23" t="n">
        <x:v>3</x:v>
      </x:c>
      <x:c r="O11" s="23" t="n">
        <x:v>2</x:v>
      </x:c>
      <x:c r="P11" s="23" t="n">
        <x:v>3</x:v>
      </x:c>
      <x:c r="Q11" s="23" t="n">
        <x:v>1</x:v>
      </x:c>
      <x:c r="R11" s="23" t="n">
        <x:v>5</x:v>
      </x:c>
      <x:c r="S11" s="23" t="n">
        <x:v>2</x:v>
      </x:c>
      <x:c r="T11" s="23" t="n">
        <x:v>5</x:v>
      </x:c>
      <x:c r="U11" s="23" t="n">
        <x:v>3</x:v>
      </x:c>
      <x:c r="V11" s="23" t="n">
        <x:v>52</x:v>
      </x:c>
      <x:c r="W11" s="20" t="str">
        <x:v>夜生活</x:v>
      </x:c>
      <x:c r="X11" s="20" t="str">
        <x:v>按兴趣</x:v>
      </x:c>
      <x:c r="Y11" s="20" t="str">
        <x:v>https://www.reddit.com/r/travelchina/comments/1o74mfa/trip_report_for_chongqing_4_night_stay/</x:v>
      </x:c>
      <x:c r="Z11" s="20" t="str">
        <x:v>首次精简版删除；美食生活或复游客保留</x:v>
      </x:c>
      <x:c r="AA11" s="20" t="str">
        <x:v>夜生活|观音桥|年轻人|酒吧</x:v>
      </x:c>
      <x:c r="AB11" s="20" t="str">
        <x:v>想看本地年轻人的城市|不想只有游客区</x:v>
      </x:c>
      <x:c r="AC11" s="23" t="n">
        <x:v>2</x:v>
      </x:c>
      <x:c r="AD11" s="23" t="n">
        <x:v>1</x:v>
      </x:c>
      <x:c r="AE11" s="23" t="n">
        <x:v>5</x:v>
      </x:c>
      <x:c r="AF11" s="23" t="n">
        <x:v>4</x:v>
      </x:c>
      <x:c r="AG11" s="23" t="n">
        <x:v>4</x:v>
      </x:c>
      <x:c r="AH11" s="23" t="n">
        <x:v>3</x:v>
      </x:c>
      <x:c r="AI11" s="23" t="n">
        <x:v>1</x:v>
      </x:c>
      <x:c r="AJ11" s="23" t="n">
        <x:v>5</x:v>
      </x:c>
      <x:c r="AK11" s="20" t="str">
        <x:v>首次精简行程或带低龄儿童时删除</x:v>
      </x:c>
      <x:c r="AL11" s="20" t="str">
        <x:v>夜间安全边界|饮酒偏好</x:v>
      </x:c>
      <x:c r="AM11" s="20" t="str">
        <x:v>把当代消费与社交作为真实城市的一部分。</x:v>
      </x:c>
      <x:c r="AN11" s="20" t="str">
        <x:v>夜间结束时间、饮酒偏好和返程方式需要提前确认。</x:v>
      </x:c>
    </x:row>
    <x:row r="12" ht="64" customHeight="1">
      <x:c r="A12" s="20" t="str">
        <x:v>RM07</x:v>
      </x:c>
      <x:c r="B12" s="20" t="str">
        <x:v>D2</x:v>
      </x:c>
      <x:c r="C12" s="20" t="str">
        <x:v>核心</x:v>
      </x:c>
      <x:c r="D12" s="20" t="str">
        <x:v>移民母城与水路城门</x:v>
      </x:c>
      <x:c r="E12" s="20" t="str">
        <x:v>核心解释</x:v>
      </x:c>
      <x:c r="F12" s="20" t="str">
        <x:v>CQ008|CQ009</x:v>
      </x:c>
      <x:c r="G12" s="20" t="str">
        <x:v>湖广会馆—东水门</x:v>
      </x:c>
      <x:c r="H12" s="20" t="str">
        <x:v>从会馆、互助网络和水路入口理解重庆为什么是一座移民城市。</x:v>
      </x:c>
      <x:c r="I12" s="20" t="str">
        <x:v>会馆解决的是迁入者的商业、信仰和社会支持问题。</x:v>
      </x:c>
      <x:c r="J12" s="20" t="str">
        <x:v>比较会馆功能与城门地形。</x:v>
      </x:c>
      <x:c r="K12" s="23" t="n">
        <x:v>130</x:v>
      </x:c>
      <x:c r="L12" s="23" t="n">
        <x:v>2</x:v>
      </x:c>
      <x:c r="M12" s="23" t="n">
        <x:v>2</x:v>
      </x:c>
      <x:c r="N12" s="23" t="n">
        <x:v>2</x:v>
      </x:c>
      <x:c r="O12" s="23" t="n">
        <x:v>5</x:v>
      </x:c>
      <x:c r="P12" s="23" t="n">
        <x:v>2</x:v>
      </x:c>
      <x:c r="Q12" s="23" t="n">
        <x:v>5</x:v>
      </x:c>
      <x:c r="R12" s="23" t="n">
        <x:v>3</x:v>
      </x:c>
      <x:c r="S12" s="23" t="n">
        <x:v>4</x:v>
      </x:c>
      <x:c r="T12" s="23" t="n">
        <x:v>4</x:v>
      </x:c>
      <x:c r="U12" s="23" t="n">
        <x:v>5</x:v>
      </x:c>
      <x:c r="V12" s="23" t="n">
        <x:v>96</x:v>
      </x:c>
      <x:c r="W12" s="20" t="str">
        <x:v>移民/城门</x:v>
      </x:c>
      <x:c r="X12" s="20" t="str">
        <x:v>必须输出</x:v>
      </x:c>
      <x:c r="Y12" s="20" t="str">
        <x:v>https://whlyw.cq.gov.cn/zjwl/yzq/cqwlzy/zqwwzy/202405/t20240507_13182428.html</x:v>
      </x:c>
      <x:c r="Z12" s="20" t="str">
        <x:v>英文服务未核验时保留路线、压缩讲解承诺</x:v>
      </x:c>
      <x:c r="AA12" s="20" t="str">
        <x:v>湖广会馆|东水门|移民|城门</x:v>
      </x:c>
      <x:c r="AB12" s="20" t="str">
        <x:v>想理解重庆人从哪里来|喜欢城市史</x:v>
      </x:c>
      <x:c r="AC12" s="23" t="n">
        <x:v>3</x:v>
      </x:c>
      <x:c r="AD12" s="23" t="n">
        <x:v>5</x:v>
      </x:c>
      <x:c r="AE12" s="23" t="n">
        <x:v>3</x:v>
      </x:c>
      <x:c r="AF12" s="23" t="n">
        <x:v>1</x:v>
      </x:c>
      <x:c r="AG12" s="23" t="n">
        <x:v>3</x:v>
      </x:c>
      <x:c r="AH12" s="23" t="n">
        <x:v>3</x:v>
      </x:c>
      <x:c r="AI12" s="23" t="n">
        <x:v>4</x:v>
      </x:c>
      <x:c r="AJ12" s="23" t="n">
        <x:v>4</x:v>
      </x:c>
      <x:c r="AK12" s="20" t="str">
        <x:v>英语服务不足时减少场馆内承诺</x:v>
      </x:c>
      <x:c r="AL12" s="20" t="str">
        <x:v>历史兴趣深度|场馆开放</x:v>
      </x:c>
      <x:c r="AM12" s="20" t="str">
        <x:v>用会馆和水路城门讲迁入者如何建立社会网络。</x:v>
      </x:c>
      <x:c r="AN12" s="20" t="str">
        <x:v>场馆开放与英文服务需在出发前复核。</x:v>
      </x:c>
    </x:row>
    <x:row r="13" ht="64" customHeight="1">
      <x:c r="A13" s="20" t="str">
        <x:v>RM08</x:v>
      </x:c>
      <x:c r="B13" s="20" t="str">
        <x:v>D2</x:v>
      </x:c>
      <x:c r="C13" s="20" t="str">
        <x:v>补充</x:v>
      </x:c>
      <x:c r="D13" s="20" t="str">
        <x:v>下半城贸易与金融</x:v>
      </x:c>
      <x:c r="E13" s="20" t="str">
        <x:v>核心解释</x:v>
      </x:c>
      <x:c r="F13" s="20" t="str">
        <x:v>CQ010|CQ016</x:v>
      </x:c>
      <x:c r="G13" s="20" t="str">
        <x:v>白象街—金融历史博物馆</x:v>
      </x:c>
      <x:c r="H13" s="20" t="str">
        <x:v>把码头城市如何进入近代贸易和金融落到真实街区。</x:v>
      </x:c>
      <x:c r="I13" s="20" t="str">
        <x:v>不要把所有新旧建筑都讲成古迹。</x:v>
      </x:c>
      <x:c r="J13" s="20" t="str">
        <x:v>区分历史建筑、修复部分和新商业。</x:v>
      </x:c>
      <x:c r="K13" s="23" t="n">
        <x:v>95</x:v>
      </x:c>
      <x:c r="L13" s="23" t="n">
        <x:v>1</x:v>
      </x:c>
      <x:c r="M13" s="23" t="n">
        <x:v>3</x:v>
      </x:c>
      <x:c r="N13" s="23" t="n">
        <x:v>3</x:v>
      </x:c>
      <x:c r="O13" s="23" t="n">
        <x:v>3</x:v>
      </x:c>
      <x:c r="P13" s="23" t="n">
        <x:v>2</x:v>
      </x:c>
      <x:c r="Q13" s="23" t="n">
        <x:v>5</x:v>
      </x:c>
      <x:c r="R13" s="23" t="n">
        <x:v>2</x:v>
      </x:c>
      <x:c r="S13" s="23" t="n">
        <x:v>3</x:v>
      </x:c>
      <x:c r="T13" s="23" t="n">
        <x:v>4</x:v>
      </x:c>
      <x:c r="U13" s="23" t="n">
        <x:v>4</x:v>
      </x:c>
      <x:c r="V13" s="23" t="n">
        <x:v>68</x:v>
      </x:c>
      <x:c r="W13" s="20" t="str">
        <x:v>开埠/金融</x:v>
      </x:c>
      <x:c r="X13" s="20" t="str">
        <x:v>按兴趣</x:v>
      </x:c>
      <x:c r="Y13" s="20" t="str">
        <x:v>https://ghzrzyj.cq.gov.cn/ztlm_186/ghgb/zxgh/202507/P020250716371670706300.pdf</x:v>
      </x:c>
      <x:c r="Z13" s="20" t="str">
        <x:v>与D4A开埠主题重复时缩短</x:v>
      </x:c>
      <x:c r="AA13" s="20" t="str">
        <x:v>下半城|白象街|金融|开埠</x:v>
      </x:c>
      <x:c r="AB13" s="20" t="str">
        <x:v>不满足于热门景点|想理解贸易与更新</x:v>
      </x:c>
      <x:c r="AC13" s="23" t="n">
        <x:v>3</x:v>
      </x:c>
      <x:c r="AD13" s="23" t="n">
        <x:v>5</x:v>
      </x:c>
      <x:c r="AE13" s="23" t="n">
        <x:v>3</x:v>
      </x:c>
      <x:c r="AF13" s="23" t="n">
        <x:v>1</x:v>
      </x:c>
      <x:c r="AG13" s="23" t="n">
        <x:v>3</x:v>
      </x:c>
      <x:c r="AH13" s="23" t="n">
        <x:v>3</x:v>
      </x:c>
      <x:c r="AI13" s="23" t="n">
        <x:v>3</x:v>
      </x:c>
      <x:c r="AJ13" s="23" t="n">
        <x:v>5</x:v>
      </x:c>
      <x:c r="AK13" s="20" t="str">
        <x:v>与第四天开埠主题重复时压缩</x:v>
      </x:c>
      <x:c r="AL13" s="20" t="str">
        <x:v>是否已看过经典点</x:v>
      </x:c>
      <x:c r="AM13" s="20" t="str">
        <x:v>把码头、金融和新旧建筑放入同一条近代化线索。</x:v>
      </x:c>
      <x:c r="AN13" s="20" t="str">
        <x:v>部分建筑经过修复或更新，现场会明确区分历史遗存与新商业。</x:v>
      </x:c>
    </x:row>
    <x:row r="14" ht="64" customHeight="1">
      <x:c r="A14" s="20" t="str">
        <x:v>RM09</x:v>
      </x:c>
      <x:c r="B14" s="20" t="str">
        <x:v>D2</x:v>
      </x:c>
      <x:c r="C14" s="20" t="str">
        <x:v>补充</x:v>
      </x:c>
      <x:c r="D14" s="20" t="str">
        <x:v>住宅与公共边界</x:v>
      </x:c>
      <x:c r="E14" s="20" t="str">
        <x:v>真实生活</x:v>
      </x:c>
      <x:c r="F14" s="20" t="str">
        <x:v>CQ011</x:v>
      </x:c>
      <x:c r="G14" s="20" t="str">
        <x:v>白象居外围公共通道</x:v>
      </x:c>
      <x:c r="H14" s="20" t="str">
        <x:v>理解住宅如何参与城市连接，同时学习不把居民生活当布景。</x:v>
      </x:c>
      <x:c r="I14" s="20" t="str">
        <x:v>深度旅游首先要能识别公共空间和私人边界。</x:v>
      </x:c>
      <x:c r="J14" s="20" t="str">
        <x:v>只走确认的公共通道，不进入居民私域。</x:v>
      </x:c>
      <x:c r="K14" s="23" t="n">
        <x:v>35</x:v>
      </x:c>
      <x:c r="L14" s="23" t="n">
        <x:v>2</x:v>
      </x:c>
      <x:c r="M14" s="23" t="n">
        <x:v>1</x:v>
      </x:c>
      <x:c r="N14" s="23" t="n">
        <x:v>2</x:v>
      </x:c>
      <x:c r="O14" s="23" t="n">
        <x:v>2</x:v>
      </x:c>
      <x:c r="P14" s="23" t="n">
        <x:v>5</x:v>
      </x:c>
      <x:c r="Q14" s="23" t="n">
        <x:v>2</x:v>
      </x:c>
      <x:c r="R14" s="23" t="n">
        <x:v>3</x:v>
      </x:c>
      <x:c r="S14" s="23" t="n">
        <x:v>1</x:v>
      </x:c>
      <x:c r="T14" s="23" t="n">
        <x:v>5</x:v>
      </x:c>
      <x:c r="U14" s="23" t="n">
        <x:v>3</x:v>
      </x:c>
      <x:c r="V14" s="23" t="n">
        <x:v>38</x:v>
      </x:c>
      <x:c r="W14" s="20" t="str">
        <x:v>社区/住宅</x:v>
      </x:c>
      <x:c r="X14" s="20" t="str">
        <x:v>严格条件</x:v>
      </x:c>
      <x:c r="Y14" s="20" t="str">
        <x:v>https://eprints.whiterose.ac.uk/id/eprint/185301/</x:v>
      </x:c>
      <x:c r="Z14" s="20" t="str">
        <x:v>无法确认公共边界、消防或拍摄规则即删除</x:v>
      </x:c>
      <x:c r="AA14" s="20" t="str">
        <x:v>白象居|居民楼|本地生活|小众</x:v>
      </x:c>
      <x:c r="AB14" s="20" t="str">
        <x:v>想进入真实社区|想拍居民空间</x:v>
      </x:c>
      <x:c r="AC14" s="23" t="n">
        <x:v>2</x:v>
      </x:c>
      <x:c r="AD14" s="23" t="n">
        <x:v>2</x:v>
      </x:c>
      <x:c r="AE14" s="23" t="n">
        <x:v>5</x:v>
      </x:c>
      <x:c r="AF14" s="23" t="n">
        <x:v>1</x:v>
      </x:c>
      <x:c r="AG14" s="23" t="n">
        <x:v>2</x:v>
      </x:c>
      <x:c r="AH14" s="23" t="n">
        <x:v>3</x:v>
      </x:c>
      <x:c r="AI14" s="23" t="n">
        <x:v>1</x:v>
      </x:c>
      <x:c r="AJ14" s="23" t="n">
        <x:v>5</x:v>
      </x:c>
      <x:c r="AK14" s="20" t="str">
        <x:v>公共边界、消防或拍摄规则不清时删除</x:v>
      </x:c>
      <x:c r="AL14" s="20" t="str">
        <x:v>是否拍摄|是否接受不进入私域</x:v>
      </x:c>
      <x:c r="AM14" s="20" t="str">
        <x:v>只在可确认的公共边界内理解住宅如何连接城市。</x:v>
      </x:c>
      <x:c r="AN14" s="20" t="str">
        <x:v>只使用确认过的公共通道，不进入居民私域，也不默认允许拍摄。</x:v>
      </x:c>
    </x:row>
    <x:row r="15" ht="64" customHeight="1">
      <x:c r="A15" s="20" t="str">
        <x:v>RM10</x:v>
      </x:c>
      <x:c r="B15" s="20" t="str">
        <x:v>D2</x:v>
      </x:c>
      <x:c r="C15" s="20" t="str">
        <x:v>核心</x:v>
      </x:c>
      <x:c r="D15" s="20" t="str">
        <x:v>陆路城门与山城步道</x:v>
      </x:c>
      <x:c r="E15" s="20" t="str">
        <x:v>核心解释</x:v>
      </x:c>
      <x:c r="F15" s="20" t="str">
        <x:v>CQ012|CQ013|CQ014</x:v>
      </x:c>
      <x:c r="G15" s="20" t="str">
        <x:v>通远门—第三山城步道—十八梯比较</x:v>
      </x:c>
      <x:c r="H15" s="20" t="str">
        <x:v>用脚理解坡度、街巷、休息平台和居民生活如何组成城市交通。</x:v>
      </x:c>
      <x:c r="I15" s="20" t="str">
        <x:v>山城步道是交通和社会空间，不只是景观栈道。</x:v>
      </x:c>
      <x:c r="J15" s="20" t="str">
        <x:v>记录道路如何变成台阶、平台、巷和院落边缘。</x:v>
      </x:c>
      <x:c r="K15" s="23" t="n">
        <x:v>210</x:v>
      </x:c>
      <x:c r="L15" s="23" t="n">
        <x:v>3</x:v>
      </x:c>
      <x:c r="M15" s="23" t="n">
        <x:v>1</x:v>
      </x:c>
      <x:c r="N15" s="23" t="n">
        <x:v>1</x:v>
      </x:c>
      <x:c r="O15" s="23" t="n">
        <x:v>5</x:v>
      </x:c>
      <x:c r="P15" s="23" t="n">
        <x:v>4</x:v>
      </x:c>
      <x:c r="Q15" s="23" t="n">
        <x:v>5</x:v>
      </x:c>
      <x:c r="R15" s="23" t="n">
        <x:v>3</x:v>
      </x:c>
      <x:c r="S15" s="23" t="n">
        <x:v>1</x:v>
      </x:c>
      <x:c r="T15" s="23" t="n">
        <x:v>5</x:v>
      </x:c>
      <x:c r="U15" s="23" t="n">
        <x:v>5</x:v>
      </x:c>
      <x:c r="V15" s="23" t="n">
        <x:v>98</x:v>
      </x:c>
      <x:c r="W15" s="20" t="str">
        <x:v>高体力步道</x:v>
      </x:c>
      <x:c r="X15" s="20" t="str">
        <x:v>必须但可替换</x:v>
      </x:c>
      <x:c r="Y15" s="20" t="str">
        <x:v>https://www.shplanning.com.cn/archive/download/id/487.html</x:v>
      </x:c>
      <x:c r="Z15" s="20" t="str">
        <x:v>雨天、低体力或未完整实走时改低台阶版</x:v>
      </x:c>
      <x:c r="AA15" s="20" t="str">
        <x:v>山城步道|通远门|十八梯|徒步</x:v>
      </x:c>
      <x:c r="AB15" s="20" t="str">
        <x:v>想用脚感受山城|不喜欢走马观花</x:v>
      </x:c>
      <x:c r="AC15" s="23" t="n">
        <x:v>4</x:v>
      </x:c>
      <x:c r="AD15" s="23" t="n">
        <x:v>5</x:v>
      </x:c>
      <x:c r="AE15" s="23" t="n">
        <x:v>5</x:v>
      </x:c>
      <x:c r="AF15" s="23" t="n">
        <x:v>1</x:v>
      </x:c>
      <x:c r="AG15" s="23" t="n">
        <x:v>1</x:v>
      </x:c>
      <x:c r="AH15" s="23" t="n">
        <x:v>4</x:v>
      </x:c>
      <x:c r="AI15" s="23" t="n">
        <x:v>2</x:v>
      </x:c>
      <x:c r="AJ15" s="23" t="n">
        <x:v>5</x:v>
      </x:c>
      <x:c r="AK15" s="20" t="str">
        <x:v>雨天、低体力、膝关节问题或路线未实测时替换</x:v>
      </x:c>
      <x:c r="AL15" s="20" t="str">
        <x:v>连续台阶能力|膝关节情况</x:v>
      </x:c>
      <x:c r="AM15" s="20" t="str">
        <x:v>用真实坡度和街巷说明山城道路如何运转。</x:v>
      </x:c>
      <x:c r="AN15" s="20" t="str">
        <x:v>包含较多连续台阶；雨天、膝关节不适或低体力时改走低台阶版本。</x:v>
      </x:c>
    </x:row>
    <x:row r="16" ht="64" customHeight="1">
      <x:c r="A16" s="20" t="str">
        <x:v>RM11</x:v>
      </x:c>
      <x:c r="B16" s="20" t="str">
        <x:v>D2</x:v>
      </x:c>
      <x:c r="C16" s="20" t="str">
        <x:v>补充</x:v>
      </x:c>
      <x:c r="D16" s="20" t="str">
        <x:v>平民战争记忆</x:v>
      </x:c>
      <x:c r="E16" s="20" t="str">
        <x:v>核心解释</x:v>
      </x:c>
      <x:c r="F16" s="20" t="str">
        <x:v>CQ015</x:v>
      </x:c>
      <x:c r="G16" s="20" t="str">
        <x:v>重庆大轰炸遗址陈列馆</x:v>
      </x:c>
      <x:c r="H16" s="20" t="str">
        <x:v>从夜景奇观切回战争中的普通人经验。</x:v>
      </x:c>
      <x:c r="I16" s="20" t="str">
        <x:v>重内容需要情绪提示，不能与娱乐点位随意拼接。</x:v>
      </x:c>
      <x:c r="J16" s="20" t="str">
        <x:v>进入前做内容预警，离开后安排安静恢复。</x:v>
      </x:c>
      <x:c r="K16" s="23" t="n">
        <x:v>60</x:v>
      </x:c>
      <x:c r="L16" s="23" t="n">
        <x:v>1</x:v>
      </x:c>
      <x:c r="M16" s="23" t="n">
        <x:v>3</x:v>
      </x:c>
      <x:c r="N16" s="23" t="n">
        <x:v>3</x:v>
      </x:c>
      <x:c r="O16" s="23" t="n">
        <x:v>2</x:v>
      </x:c>
      <x:c r="P16" s="23" t="n">
        <x:v>1</x:v>
      </x:c>
      <x:c r="Q16" s="23" t="n">
        <x:v>5</x:v>
      </x:c>
      <x:c r="R16" s="23" t="n">
        <x:v>1</x:v>
      </x:c>
      <x:c r="S16" s="23" t="n">
        <x:v>2</x:v>
      </x:c>
      <x:c r="T16" s="23" t="n">
        <x:v>3</x:v>
      </x:c>
      <x:c r="U16" s="23" t="n">
        <x:v>4</x:v>
      </x:c>
      <x:c r="V16" s="23" t="n">
        <x:v>55</x:v>
      </x:c>
      <x:c r="W16" s="20" t="str">
        <x:v>战争记忆</x:v>
      </x:c>
      <x:c r="X16" s="20" t="str">
        <x:v>定向输出</x:v>
      </x:c>
      <x:c r="Y16" s="20" t="str">
        <x:v>https://whlyw.cq.gov.cn/zwxx_221/bmdt/tzgg/202601/t20260115_15320690.html</x:v>
      </x:c>
      <x:c r="Z16" s="20" t="str">
        <x:v>亲子低龄、纯摄影或轻松客群删除</x:v>
      </x:c>
      <x:c r="AA16" s="20" t="str">
        <x:v>大轰炸|战争遗址|纪念馆</x:v>
      </x:c>
      <x:c r="AB16" s="20" t="str">
        <x:v>想理解普通人的战争经验|需要严肃内容</x:v>
      </x:c>
      <x:c r="AC16" s="23" t="n">
        <x:v>2</x:v>
      </x:c>
      <x:c r="AD16" s="23" t="n">
        <x:v>5</x:v>
      </x:c>
      <x:c r="AE16" s="23" t="n">
        <x:v>2</x:v>
      </x:c>
      <x:c r="AF16" s="23" t="n">
        <x:v>1</x:v>
      </x:c>
      <x:c r="AG16" s="23" t="n">
        <x:v>4</x:v>
      </x:c>
      <x:c r="AH16" s="23" t="n">
        <x:v>1</x:v>
      </x:c>
      <x:c r="AI16" s="23" t="n">
        <x:v>1</x:v>
      </x:c>
      <x:c r="AJ16" s="23" t="n">
        <x:v>4</x:v>
      </x:c>
      <x:c r="AK16" s="20" t="str">
        <x:v>低龄亲子、纯摄影或情绪负担高时删除</x:v>
      </x:c>
      <x:c r="AL16" s="20" t="str">
        <x:v>是否接受战争与伤亡内容</x:v>
      </x:c>
      <x:c r="AM16" s="20" t="str">
        <x:v>把城市奇观拉回普通人的战争记忆，并给予情绪缓冲。</x:v>
      </x:c>
      <x:c r="AN16" s="20" t="str">
        <x:v>内容涉及战争与平民伤亡，进入前会先做内容提示。</x:v>
      </x:c>
    </x:row>
    <x:row r="17" ht="64" customHeight="1">
      <x:c r="A17" s="20" t="str">
        <x:v>RM12</x:v>
      </x:c>
      <x:c r="B17" s="20" t="str">
        <x:v>D2</x:v>
      </x:c>
      <x:c r="C17" s="20" t="str">
        <x:v>核心</x:v>
      </x:c>
      <x:c r="D17" s="20" t="str">
        <x:v>小面早餐与火锅社交</x:v>
      </x:c>
      <x:c r="E17" s="20" t="str">
        <x:v>付费体验</x:v>
      </x:c>
      <x:c r="F17" s="20" t="str">
        <x:v>CQ038|CQ039</x:v>
      </x:c>
      <x:c r="G17" s="20" t="str">
        <x:v>重庆小面—双语火锅体验</x:v>
      </x:c>
      <x:c r="H17" s="20" t="str">
        <x:v>从一碗早餐进入日常，再用火锅理解共享餐桌、辣度和社交规则。</x:v>
      </x:c>
      <x:c r="I17" s="20" t="str">
        <x:v>餐厅名单不是产品；点菜、过敏、辣度和规则才是。</x:v>
      </x:c>
      <x:c r="J17" s="20" t="str">
        <x:v>由游客完成一次有解释的点菜。</x:v>
      </x:c>
      <x:c r="K17" s="23" t="n">
        <x:v>180</x:v>
      </x:c>
      <x:c r="L17" s="23" t="n">
        <x:v>1</x:v>
      </x:c>
      <x:c r="M17" s="23" t="n">
        <x:v>3</x:v>
      </x:c>
      <x:c r="N17" s="23" t="n">
        <x:v>3</x:v>
      </x:c>
      <x:c r="O17" s="23" t="n">
        <x:v>5</x:v>
      </x:c>
      <x:c r="P17" s="23" t="n">
        <x:v>2</x:v>
      </x:c>
      <x:c r="Q17" s="23" t="n">
        <x:v>2</x:v>
      </x:c>
      <x:c r="R17" s="23" t="n">
        <x:v>5</x:v>
      </x:c>
      <x:c r="S17" s="23" t="n">
        <x:v>5</x:v>
      </x:c>
      <x:c r="T17" s="23" t="n">
        <x:v>5</x:v>
      </x:c>
      <x:c r="U17" s="23" t="n">
        <x:v>5</x:v>
      </x:c>
      <x:c r="V17" s="23" t="n">
        <x:v>97</x:v>
      </x:c>
      <x:c r="W17" s="20" t="str">
        <x:v>食物体验</x:v>
      </x:c>
      <x:c r="X17" s="20" t="str">
        <x:v>必须输出</x:v>
      </x:c>
      <x:c r="Y17" s="20" t="str">
        <x:v>https://whlyw.cq.gov.cn/zjwl/szq/zqms/202411/t20241111_13787035.html</x:v>
      </x:c>
      <x:c r="Z17" s="20" t="str">
        <x:v>无双语点菜和安全规则不得作为收费体验</x:v>
      </x:c>
      <x:c r="AA17" s="20" t="str">
        <x:v>小面|火锅|美食|点菜</x:v>
      </x:c>
      <x:c r="AB17" s="20" t="str">
        <x:v>想吃得像本地人|担心辣度过敏和点菜</x:v>
      </x:c>
      <x:c r="AC17" s="23" t="n">
        <x:v>2</x:v>
      </x:c>
      <x:c r="AD17" s="23" t="n">
        <x:v>2</x:v>
      </x:c>
      <x:c r="AE17" s="23" t="n">
        <x:v>5</x:v>
      </x:c>
      <x:c r="AF17" s="23" t="n">
        <x:v>5</x:v>
      </x:c>
      <x:c r="AG17" s="23" t="n">
        <x:v>3</x:v>
      </x:c>
      <x:c r="AH17" s="23" t="n">
        <x:v>3</x:v>
      </x:c>
      <x:c r="AI17" s="23" t="n">
        <x:v>4</x:v>
      </x:c>
      <x:c r="AJ17" s="23" t="n">
        <x:v>4</x:v>
      </x:c>
      <x:c r="AK17" s="20" t="str">
        <x:v>无双语点菜、辣度和过敏规则时不得收费</x:v>
      </x:c>
      <x:c r="AL17" s="20" t="str">
        <x:v>过敏|忌口|辣度|预算</x:v>
      </x:c>
      <x:c r="AM17" s="20" t="str">
        <x:v>不是餐厅名单，而是一套可参与、可解释、可安全履约的饮食体验。</x:v>
      </x:c>
      <x:c r="AN17" s="20" t="str">
        <x:v>预订前必须确认过敏原、忌口和辣度；价格与取消规则另行说明。</x:v>
      </x:c>
    </x:row>
    <x:row r="18" ht="64" customHeight="1">
      <x:c r="A18" s="20" t="str">
        <x:v>RM13</x:v>
      </x:c>
      <x:c r="B18" s="20" t="str">
        <x:v>D3</x:v>
      </x:c>
      <x:c r="C18" s="20" t="str">
        <x:v>核心</x:v>
      </x:c>
      <x:c r="D18" s="20" t="str">
        <x:v>博物馆建立城市框架</x:v>
      </x:c>
      <x:c r="E18" s="20" t="str">
        <x:v>核心解释</x:v>
      </x:c>
      <x:c r="F18" s="20" t="str">
        <x:v>CQ017|CQ018</x:v>
      </x:c>
      <x:c r="G18" s="20" t="str">
        <x:v>三峡博物馆—人民大礼堂外观</x:v>
      </x:c>
      <x:c r="H18" s="20" t="str">
        <x:v>用地形、移民、三峡和抗战四条线解释前两天看到的重庆。</x:v>
      </x:c>
      <x:c r="I18" s="20" t="str">
        <x:v>博物馆只选与路线相关的展厅，不追求逛完。</x:v>
      </x:c>
      <x:c r="J18" s="20" t="str">
        <x:v>说出三件离馆后更能理解的城市现象。</x:v>
      </x:c>
      <x:c r="K18" s="23" t="n">
        <x:v>180</x:v>
      </x:c>
      <x:c r="L18" s="23" t="n">
        <x:v>1</x:v>
      </x:c>
      <x:c r="M18" s="23" t="n">
        <x:v>3</x:v>
      </x:c>
      <x:c r="N18" s="23" t="n">
        <x:v>3</x:v>
      </x:c>
      <x:c r="O18" s="23" t="n">
        <x:v>5</x:v>
      </x:c>
      <x:c r="P18" s="23" t="n">
        <x:v>2</x:v>
      </x:c>
      <x:c r="Q18" s="23" t="n">
        <x:v>5</x:v>
      </x:c>
      <x:c r="R18" s="23" t="n">
        <x:v>2</x:v>
      </x:c>
      <x:c r="S18" s="23" t="n">
        <x:v>5</x:v>
      </x:c>
      <x:c r="T18" s="23" t="n">
        <x:v>3</x:v>
      </x:c>
      <x:c r="U18" s="23" t="n">
        <x:v>4</x:v>
      </x:c>
      <x:c r="V18" s="23" t="n">
        <x:v>92</x:v>
      </x:c>
      <x:c r="W18" s="20" t="str">
        <x:v>博物馆/框架</x:v>
      </x:c>
      <x:c r="X18" s="20" t="str">
        <x:v>必须输出</x:v>
      </x:c>
      <x:c r="Y18" s="20" t="str">
        <x:v>https://www.3gmuseum.cn/web/article/1430010139317059584/web/content_1430010139317059584.html</x:v>
      </x:c>
      <x:c r="Z18" s="20" t="str">
        <x:v>周一或临展变化时调整到其他日期</x:v>
      </x:c>
      <x:c r="AA18" s="20" t="str">
        <x:v>三峡博物馆|博物馆|带孩子|雨天</x:v>
      </x:c>
      <x:c r="AB18" s="20" t="str">
        <x:v>想建立整体框架|需要低体力和可控安排</x:v>
      </x:c>
      <x:c r="AC18" s="23" t="n">
        <x:v>2</x:v>
      </x:c>
      <x:c r="AD18" s="23" t="n">
        <x:v>5</x:v>
      </x:c>
      <x:c r="AE18" s="23" t="n">
        <x:v>2</x:v>
      </x:c>
      <x:c r="AF18" s="23" t="n">
        <x:v>1</x:v>
      </x:c>
      <x:c r="AG18" s="23" t="n">
        <x:v>5</x:v>
      </x:c>
      <x:c r="AH18" s="23" t="n">
        <x:v>2</x:v>
      </x:c>
      <x:c r="AI18" s="23" t="n">
        <x:v>5</x:v>
      </x:c>
      <x:c r="AJ18" s="23" t="n">
        <x:v>3</x:v>
      </x:c>
      <x:c r="AK18" s="20" t="str">
        <x:v>闭馆或展陈变化时换日</x:v>
      </x:c>
      <x:c r="AL18" s="20" t="str">
        <x:v>开放时间|儿童年龄</x:v>
      </x:c>
      <x:c r="AM18" s="20" t="str">
        <x:v>只选能解释前两天所见现象的展厅，建立城市框架。</x:v>
      </x:c>
      <x:c r="AN18" s="20" t="str">
        <x:v>周一和临展调整可能影响开放，出发前会再次确认。</x:v>
      </x:c>
    </x:row>
    <x:row r="19" ht="64" customHeight="1">
      <x:c r="A19" s="20" t="str">
        <x:v>RM14</x:v>
      </x:c>
      <x:c r="B19" s="20" t="str">
        <x:v>D3</x:v>
      </x:c>
      <x:c r="C19" s="20" t="str">
        <x:v>核心</x:v>
      </x:c>
      <x:c r="D19" s="20" t="str">
        <x:v>抗战陪都街区</x:v>
      </x:c>
      <x:c r="E19" s="20" t="str">
        <x:v>核心解释</x:v>
      </x:c>
      <x:c r="F19" s="20" t="str">
        <x:v>CQ019</x:v>
      </x:c>
      <x:c r="G19" s="20" t="str">
        <x:v>中山四路：桂园—周公馆—特园</x:v>
      </x:c>
      <x:c r="H19" s="20" t="str">
        <x:v>把政治、谈判、外交和文化活动放进一条可步行街道。</x:v>
      </x:c>
      <x:c r="I19" s="20" t="str">
        <x:v>用关系和选择讲历史，不堆人物与年代。</x:v>
      </x:c>
      <x:c r="J19" s="20" t="str">
        <x:v>比较住宅尺度与其承担的国际政治功能。</x:v>
      </x:c>
      <x:c r="K19" s="23" t="n">
        <x:v>120</x:v>
      </x:c>
      <x:c r="L19" s="23" t="n">
        <x:v>1</x:v>
      </x:c>
      <x:c r="M19" s="23" t="n">
        <x:v>2</x:v>
      </x:c>
      <x:c r="N19" s="23" t="n">
        <x:v>2</x:v>
      </x:c>
      <x:c r="O19" s="23" t="n">
        <x:v>4</x:v>
      </x:c>
      <x:c r="P19" s="23" t="n">
        <x:v>2</x:v>
      </x:c>
      <x:c r="Q19" s="23" t="n">
        <x:v>5</x:v>
      </x:c>
      <x:c r="R19" s="23" t="n">
        <x:v>1</x:v>
      </x:c>
      <x:c r="S19" s="23" t="n">
        <x:v>3</x:v>
      </x:c>
      <x:c r="T19" s="23" t="n">
        <x:v>4</x:v>
      </x:c>
      <x:c r="U19" s="23" t="n">
        <x:v>5</x:v>
      </x:c>
      <x:c r="V19" s="23" t="n">
        <x:v>93</x:v>
      </x:c>
      <x:c r="W19" s="20" t="str">
        <x:v>抗战/外交</x:v>
      </x:c>
      <x:c r="X19" s="20" t="str">
        <x:v>必须输出</x:v>
      </x:c>
      <x:c r="Y19" s="20" t="str">
        <x:v>https://www.cqyz.gov.cn/zjyz/lyyz/rmdkd/202210/t20221005_11164444.html</x:v>
      </x:c>
      <x:c r="Z19" s="20" t="str">
        <x:v>政治史比重过高时与RM15合并压缩</x:v>
      </x:c>
      <x:c r="AA19" s="20" t="str">
        <x:v>中山四路|陪都|周公馆|桂园</x:v>
      </x:c>
      <x:c r="AB19" s="20" t="str">
        <x:v>想理解抗战政治与外交|喜欢街区叙事</x:v>
      </x:c>
      <x:c r="AC19" s="23" t="n">
        <x:v>3</x:v>
      </x:c>
      <x:c r="AD19" s="23" t="n">
        <x:v>5</x:v>
      </x:c>
      <x:c r="AE19" s="23" t="n">
        <x:v>3</x:v>
      </x:c>
      <x:c r="AF19" s="23" t="n">
        <x:v>1</x:v>
      </x:c>
      <x:c r="AG19" s="23" t="n">
        <x:v>4</x:v>
      </x:c>
      <x:c r="AH19" s="23" t="n">
        <x:v>3</x:v>
      </x:c>
      <x:c r="AI19" s="23" t="n">
        <x:v>4</x:v>
      </x:c>
      <x:c r="AJ19" s="23" t="n">
        <x:v>4</x:v>
      </x:c>
      <x:c r="AK19" s="20" t="str">
        <x:v>政治史比重过高时与其他历史模块合并</x:v>
      </x:c>
      <x:c r="AL19" s="20" t="str">
        <x:v>历史兴趣深度</x:v>
      </x:c>
      <x:c r="AM19" s="20" t="str">
        <x:v>用一条街上的住宅尺度讲政治、谈判与国际关系。</x:v>
      </x:c>
      <x:c r="AN19" s="20" t="str">
        <x:v>街区步行约两小时；会按兴趣控制政治史讲解比重。</x:v>
      </x:c>
    </x:row>
    <x:row r="20" ht="64" customHeight="1">
      <x:c r="A20" s="20" t="str">
        <x:v>RM15</x:v>
      </x:c>
      <x:c r="B20" s="20" t="str">
        <x:v>D3</x:v>
      </x:c>
      <x:c r="C20" s="20" t="str">
        <x:v>补充</x:v>
      </x:c>
      <x:c r="D20" s="20" t="str">
        <x:v>国际二战接口</x:v>
      </x:c>
      <x:c r="E20" s="20" t="str">
        <x:v>核心解释</x:v>
      </x:c>
      <x:c r="F20" s="20" t="str">
        <x:v>CQ020</x:v>
      </x:c>
      <x:c r="G20" s="20" t="str">
        <x:v>重庆史迪威博物馆</x:v>
      </x:c>
      <x:c r="H20" s="20" t="str">
        <x:v>通过史迪威、飞虎队和滇缅交通连接外国游客熟悉的二战框架。</x:v>
      </x:c>
      <x:c r="I20" s="20" t="str">
        <x:v>区分人物、旧居、军事网络和当代展陈。</x:v>
      </x:c>
      <x:c r="J20" s="20" t="str">
        <x:v>问盟友各自期待什么、冲突在哪里。</x:v>
      </x:c>
      <x:c r="K20" s="23" t="n">
        <x:v>80</x:v>
      </x:c>
      <x:c r="L20" s="23" t="n">
        <x:v>1</x:v>
      </x:c>
      <x:c r="M20" s="23" t="n">
        <x:v>3</x:v>
      </x:c>
      <x:c r="N20" s="23" t="n">
        <x:v>3</x:v>
      </x:c>
      <x:c r="O20" s="23" t="n">
        <x:v>3</x:v>
      </x:c>
      <x:c r="P20" s="23" t="n">
        <x:v>2</x:v>
      </x:c>
      <x:c r="Q20" s="23" t="n">
        <x:v>5</x:v>
      </x:c>
      <x:c r="R20" s="23" t="n">
        <x:v>1</x:v>
      </x:c>
      <x:c r="S20" s="23" t="n">
        <x:v>4</x:v>
      </x:c>
      <x:c r="T20" s="23" t="n">
        <x:v>4</x:v>
      </x:c>
      <x:c r="U20" s="23" t="n">
        <x:v>5</x:v>
      </x:c>
      <x:c r="V20" s="23" t="n">
        <x:v>74</x:v>
      </x:c>
      <x:c r="W20" s="20" t="str">
        <x:v>国际史</x:v>
      </x:c>
      <x:c r="X20" s="20" t="str">
        <x:v>按兴趣</x:v>
      </x:c>
      <x:c r="Y20" s="20" t="str">
        <x:v>https://www.cq.gov.cn/zwgk/zfxxgkml/zdlyxxgk/ggwh/wh/zxdt/202605/t20260518_15684252.html</x:v>
      </x:c>
      <x:c r="Z20" s="20" t="str">
        <x:v>无英语内容或客群不关心二战时删除</x:v>
      </x:c>
      <x:c r="AA20" s="20" t="str">
        <x:v>史迪威|飞虎队|二战|美国游客</x:v>
      </x:c>
      <x:c r="AB20" s="20" t="str">
        <x:v>想把重庆接入熟悉的世界史|有家族或国别连接</x:v>
      </x:c>
      <x:c r="AC20" s="23" t="n">
        <x:v>2</x:v>
      </x:c>
      <x:c r="AD20" s="23" t="n">
        <x:v>5</x:v>
      </x:c>
      <x:c r="AE20" s="23" t="n">
        <x:v>2</x:v>
      </x:c>
      <x:c r="AF20" s="23" t="n">
        <x:v>1</x:v>
      </x:c>
      <x:c r="AG20" s="23" t="n">
        <x:v>4</x:v>
      </x:c>
      <x:c r="AH20" s="23" t="n">
        <x:v>2</x:v>
      </x:c>
      <x:c r="AI20" s="23" t="n">
        <x:v>3</x:v>
      </x:c>
      <x:c r="AJ20" s="23" t="n">
        <x:v>5</x:v>
      </x:c>
      <x:c r="AK20" s="20" t="str">
        <x:v>客群不关心二战或英语内容不足时删除</x:v>
      </x:c>
      <x:c r="AL20" s="20" t="str">
        <x:v>国别背景|二战兴趣</x:v>
      </x:c>
      <x:c r="AM20" s="20" t="str">
        <x:v>通过人物和交通网络连接外国游客熟悉的二战框架。</x:v>
      </x:c>
      <x:c r="AN20" s="20" t="str">
        <x:v>英文展陈和开放状态需要提前确认。</x:v>
      </x:c>
    </x:row>
    <x:row r="21" ht="64" customHeight="1">
      <x:c r="A21" s="20" t="str">
        <x:v>RM16</x:v>
      </x:c>
      <x:c r="B21" s="20" t="str">
        <x:v>D3</x:v>
      </x:c>
      <x:c r="C21" s="20" t="str">
        <x:v>核心</x:v>
      </x:c>
      <x:c r="D21" s="20" t="str">
        <x:v>先乘坐，再拍照</x:v>
      </x:c>
      <x:c r="E21" s="20" t="str">
        <x:v>引流钩子</x:v>
      </x:c>
      <x:c r="F21" s="20" t="str">
        <x:v>CQ021|CQ022</x:v>
      </x:c>
      <x:c r="G21" s="20" t="str">
        <x:v>轨道2号线—李子坝</x:v>
      </x:c>
      <x:c r="H21" s="20" t="str">
        <x:v>单轨的价值是适应曲线、坡度和密集城市，而不是一张穿楼照片。</x:v>
      </x:c>
      <x:c r="I21" s="20" t="str">
        <x:v>李子坝观景台是验证点，乘车才是核心。</x:v>
      </x:c>
      <x:c r="J21" s="20" t="str">
        <x:v>从车内记录高架、沿江、曲线和不同地面。</x:v>
      </x:c>
      <x:c r="K21" s="23" t="n">
        <x:v>70</x:v>
      </x:c>
      <x:c r="L21" s="23" t="n">
        <x:v>1</x:v>
      </x:c>
      <x:c r="M21" s="23" t="n">
        <x:v>3</x:v>
      </x:c>
      <x:c r="N21" s="23" t="n">
        <x:v>3</x:v>
      </x:c>
      <x:c r="O21" s="23" t="n">
        <x:v>5</x:v>
      </x:c>
      <x:c r="P21" s="23" t="n">
        <x:v>5</x:v>
      </x:c>
      <x:c r="Q21" s="23" t="n">
        <x:v>2</x:v>
      </x:c>
      <x:c r="R21" s="23" t="n">
        <x:v>1</x:v>
      </x:c>
      <x:c r="S21" s="23" t="n">
        <x:v>5</x:v>
      </x:c>
      <x:c r="T21" s="23" t="n">
        <x:v>3</x:v>
      </x:c>
      <x:c r="U21" s="23" t="n">
        <x:v>4</x:v>
      </x:c>
      <x:c r="V21" s="23" t="n">
        <x:v>99</x:v>
      </x:c>
      <x:c r="W21" s="20" t="str">
        <x:v>交通奇观</x:v>
      </x:c>
      <x:c r="X21" s="20" t="str">
        <x:v>必须输出</x:v>
      </x:c>
      <x:c r="Y21" s="20" t="str">
        <x:v>https://www.cq.gov.cn/ywdt/jrcq/202606/t20260613_15751500.html</x:v>
      </x:c>
      <x:c r="Z21" s="20" t="str">
        <x:v>施工期只保留乘车核心，外部观景可删除</x:v>
      </x:c>
      <x:c r="AA21" s="20" t="str">
        <x:v>李子坝|轻轨穿楼|单轨|交通</x:v>
      </x:c>
      <x:c r="AB21" s="20" t="str">
        <x:v>想拍最有传播力的城市交通|孩子喜欢地铁</x:v>
      </x:c>
      <x:c r="AC21" s="23" t="n">
        <x:v>5</x:v>
      </x:c>
      <x:c r="AD21" s="23" t="n">
        <x:v>2</x:v>
      </x:c>
      <x:c r="AE21" s="23" t="n">
        <x:v>2</x:v>
      </x:c>
      <x:c r="AF21" s="23" t="n">
        <x:v>1</x:v>
      </x:c>
      <x:c r="AG21" s="23" t="n">
        <x:v>4</x:v>
      </x:c>
      <x:c r="AH21" s="23" t="n">
        <x:v>5</x:v>
      </x:c>
      <x:c r="AI21" s="23" t="n">
        <x:v>5</x:v>
      </x:c>
      <x:c r="AJ21" s="23" t="n">
        <x:v>3</x:v>
      </x:c>
      <x:c r="AK21" s="20" t="str">
        <x:v>施工或观景台拥挤时只保留乘车</x:v>
      </x:c>
      <x:c r="AL21" s="20" t="str">
        <x:v>是否晕车|拍摄目的</x:v>
      </x:c>
      <x:c r="AM21" s="20" t="str">
        <x:v>先乘坐理解系统，再把穿楼当作验证点。</x:v>
      </x:c>
      <x:c r="AN21" s="20" t="str">
        <x:v>施工或人流较大时仍保留乘车体验，外部观景点可能调整。</x:v>
      </x:c>
    </x:row>
    <x:row r="22" ht="64" customHeight="1">
      <x:c r="A22" s="20" t="str">
        <x:v>RM17</x:v>
      </x:c>
      <x:c r="B22" s="20" t="str">
        <x:v>D3</x:v>
      </x:c>
      <x:c r="C22" s="20" t="str">
        <x:v>补充</x:v>
      </x:c>
      <x:c r="D22" s="20" t="str">
        <x:v>鹅岭高点复盘</x:v>
      </x:c>
      <x:c r="E22" s="20" t="str">
        <x:v>核心解释</x:v>
      </x:c>
      <x:c r="F22" s="20" t="str">
        <x:v>CQ023|CQ024</x:v>
      </x:c>
      <x:c r="G22" s="20" t="str">
        <x:v>鹅岭公园—二厂对比</x:v>
      </x:c>
      <x:c r="H22" s="20" t="str">
        <x:v>从高点重建两江、山脊和交通走廊，再讨论工业更新。</x:v>
      </x:c>
      <x:c r="I22" s="20" t="str">
        <x:v>观景不是终点，复盘三天路线才有内容。</x:v>
      </x:c>
      <x:c r="J22" s="20" t="str">
        <x:v>指出已走过的江岸、桥和山脊。</x:v>
      </x:c>
      <x:c r="K22" s="23" t="n">
        <x:v>105</x:v>
      </x:c>
      <x:c r="L22" s="23" t="n">
        <x:v>2</x:v>
      </x:c>
      <x:c r="M22" s="23" t="n">
        <x:v>2</x:v>
      </x:c>
      <x:c r="N22" s="23" t="n">
        <x:v>2</x:v>
      </x:c>
      <x:c r="O22" s="23" t="n">
        <x:v>3</x:v>
      </x:c>
      <x:c r="P22" s="23" t="n">
        <x:v>4</x:v>
      </x:c>
      <x:c r="Q22" s="23" t="n">
        <x:v>3</x:v>
      </x:c>
      <x:c r="R22" s="23" t="n">
        <x:v>2</x:v>
      </x:c>
      <x:c r="S22" s="23" t="n">
        <x:v>3</x:v>
      </x:c>
      <x:c r="T22" s="23" t="n">
        <x:v>5</x:v>
      </x:c>
      <x:c r="U22" s="23" t="n">
        <x:v>3</x:v>
      </x:c>
      <x:c r="V22" s="23" t="n">
        <x:v>63</x:v>
      </x:c>
      <x:c r="W22" s="20" t="str">
        <x:v>观景/更新</x:v>
      </x:c>
      <x:c r="X22" s="20" t="str">
        <x:v>按兴趣</x:v>
      </x:c>
      <x:c r="Y22" s="20" t="str">
        <x:v>https://ghzrzyj.cq.gov.cn/ztlm_186/ghgb/zxgh/202507/P020250716371670706300.pdf</x:v>
      </x:c>
      <x:c r="Z22" s="20" t="str">
        <x:v>能见度差时保留公园生活、删除高点承诺</x:v>
      </x:c>
      <x:c r="AA22" s="20" t="str">
        <x:v>鹅岭|二厂|观景台|日落</x:v>
      </x:c>
      <x:c r="AB22" s="20" t="str">
        <x:v>想从高处复盘城市|想拍不一样的视角</x:v>
      </x:c>
      <x:c r="AC22" s="23" t="n">
        <x:v>4</x:v>
      </x:c>
      <x:c r="AD22" s="23" t="n">
        <x:v>3</x:v>
      </x:c>
      <x:c r="AE22" s="23" t="n">
        <x:v>4</x:v>
      </x:c>
      <x:c r="AF22" s="23" t="n">
        <x:v>1</x:v>
      </x:c>
      <x:c r="AG22" s="23" t="n">
        <x:v>3</x:v>
      </x:c>
      <x:c r="AH22" s="23" t="n">
        <x:v>4</x:v>
      </x:c>
      <x:c r="AI22" s="23" t="n">
        <x:v>4</x:v>
      </x:c>
      <x:c r="AJ22" s="23" t="n">
        <x:v>4</x:v>
      </x:c>
      <x:c r="AK22" s="20" t="str">
        <x:v>能见度差时删除高点承诺</x:v>
      </x:c>
      <x:c r="AL22" s="20" t="str">
        <x:v>天气能见度</x:v>
      </x:c>
      <x:c r="AM22" s="20" t="str">
        <x:v>从高点重建江、桥和山脊，而不是再增加一个打卡点。</x:v>
      </x:c>
      <x:c r="AN22" s="20" t="str">
        <x:v>视野受雾和降雨影响；能见度差时改为公园生活与路线复盘。</x:v>
      </x:c>
    </x:row>
    <x:row r="23" ht="64" customHeight="1">
      <x:c r="A23" s="20" t="str">
        <x:v>RM18</x:v>
      </x:c>
      <x:c r="B23" s="20" t="str">
        <x:v>D3</x:v>
      </x:c>
      <x:c r="C23" s="20" t="str">
        <x:v>补充</x:v>
      </x:c>
      <x:c r="D23" s="20" t="str">
        <x:v>川剧或地方表演</x:v>
      </x:c>
      <x:c r="E23" s="20" t="str">
        <x:v>付费体验</x:v>
      </x:c>
      <x:c r="F23" s="20" t="str">
        <x:v>CQ040</x:v>
      </x:c>
      <x:c r="G23" s="20" t="str">
        <x:v>川剧/地方表演</x:v>
      </x:c>
      <x:c r="H23" s="20" t="str">
        <x:v>在雨天或夜间用现场表演补充地方审美与互动。</x:v>
      </x:c>
      <x:c r="I23" s="20" t="str">
        <x:v>只有拼盘演出不够，必须有看前解释和看后交流。</x:v>
      </x:c>
      <x:c r="J23" s="20" t="str">
        <x:v>辨认唱腔、脸谱、身段或乐器中的一个结构。</x:v>
      </x:c>
      <x:c r="K23" s="23" t="n">
        <x:v>100</x:v>
      </x:c>
      <x:c r="L23" s="23" t="n">
        <x:v>1</x:v>
      </x:c>
      <x:c r="M23" s="23" t="n">
        <x:v>3</x:v>
      </x:c>
      <x:c r="N23" s="23" t="n">
        <x:v>3</x:v>
      </x:c>
      <x:c r="O23" s="23" t="n">
        <x:v>2</x:v>
      </x:c>
      <x:c r="P23" s="23" t="n">
        <x:v>2</x:v>
      </x:c>
      <x:c r="Q23" s="23" t="n">
        <x:v>4</x:v>
      </x:c>
      <x:c r="R23" s="23" t="n">
        <x:v>3</x:v>
      </x:c>
      <x:c r="S23" s="23" t="n">
        <x:v>5</x:v>
      </x:c>
      <x:c r="T23" s="23" t="n">
        <x:v>3</x:v>
      </x:c>
      <x:c r="U23" s="23" t="n">
        <x:v>5</x:v>
      </x:c>
      <x:c r="V23" s="23" t="n">
        <x:v>50</x:v>
      </x:c>
      <x:c r="W23" s="20" t="str">
        <x:v>表演</x:v>
      </x:c>
      <x:c r="X23" s="20" t="str">
        <x:v>严格条件</x:v>
      </x:c>
      <x:c r="Y23" s="20" t="str">
        <x:v>https://whlyw.cq.gov.cn/zwgk_221/zfgkzcwj/qtwj/202607/t20260709_15810099.html</x:v>
      </x:c>
      <x:c r="Z23" s="20" t="str">
        <x:v>无英语解释、互动或版权规则时删除</x:v>
      </x:c>
      <x:c r="AA23" s="20" t="str">
        <x:v>川剧|变脸|演出|雨天</x:v>
      </x:c>
      <x:c r="AB23" s="20" t="str">
        <x:v>想要夜间文化体验|需要室内和亲子友好</x:v>
      </x:c>
      <x:c r="AC23" s="23" t="n">
        <x:v>3</x:v>
      </x:c>
      <x:c r="AD23" s="23" t="n">
        <x:v>3</x:v>
      </x:c>
      <x:c r="AE23" s="23" t="n">
        <x:v>4</x:v>
      </x:c>
      <x:c r="AF23" s="23" t="n">
        <x:v>1</x:v>
      </x:c>
      <x:c r="AG23" s="23" t="n">
        <x:v>5</x:v>
      </x:c>
      <x:c r="AH23" s="23" t="n">
        <x:v>3</x:v>
      </x:c>
      <x:c r="AI23" s="23" t="n">
        <x:v>5</x:v>
      </x:c>
      <x:c r="AJ23" s="23" t="n">
        <x:v>4</x:v>
      </x:c>
      <x:c r="AK23" s="20" t="str">
        <x:v>无英语解释、互动或版权规则时删除</x:v>
      </x:c>
      <x:c r="AL23" s="20" t="str">
        <x:v>演出排期|儿童年龄|拍摄许可</x:v>
      </x:c>
      <x:c r="AM23" s="20" t="str">
        <x:v>用看前解释和看后交流把表演从拼盘变成文化体验。</x:v>
      </x:c>
      <x:c r="AN23" s="20" t="str">
        <x:v>演出排期、英文解释、互动形式和拍摄许可需提前确认。</x:v>
      </x:c>
    </x:row>
    <x:row r="24" ht="64" customHeight="1">
      <x:c r="A24" s="20" t="str">
        <x:v>RM19</x:v>
      </x:c>
      <x:c r="B24" s="20" t="str">
        <x:v>D4</x:v>
      </x:c>
      <x:c r="C24" s="20" t="str">
        <x:v>开埠徒步</x:v>
      </x:c>
      <x:c r="D24" s="20" t="str">
        <x:v>开埠遗址与南岸更新</x:v>
      </x:c>
      <x:c r="E24" s="20" t="str">
        <x:v>核心解释</x:v>
      </x:c>
      <x:c r="F24" s="20" t="str">
        <x:v>CQ025|CQ026</x:v>
      </x:c>
      <x:c r="G24" s="20" t="str">
        <x:v>开埠遗址公园—龙门浩—下浩里</x:v>
      </x:c>
      <x:c r="H24" s="20" t="str">
        <x:v>把1891年开埠、江运、机构和街区更新放在一条江岸线上。</x:v>
      </x:c>
      <x:c r="I24" s="20" t="str">
        <x:v>区分历史遗存、修复和新消费空间。</x:v>
      </x:c>
      <x:c r="J24" s="20" t="str">
        <x:v>选择一栋建筑追踪它与江运的关系。</x:v>
      </x:c>
      <x:c r="K24" s="23" t="n">
        <x:v>210</x:v>
      </x:c>
      <x:c r="L24" s="23" t="n">
        <x:v>2</x:v>
      </x:c>
      <x:c r="M24" s="23" t="n">
        <x:v>2</x:v>
      </x:c>
      <x:c r="N24" s="23" t="n">
        <x:v>2</x:v>
      </x:c>
      <x:c r="O24" s="23" t="n">
        <x:v>3</x:v>
      </x:c>
      <x:c r="P24" s="23" t="n">
        <x:v>3</x:v>
      </x:c>
      <x:c r="Q24" s="23" t="n">
        <x:v>5</x:v>
      </x:c>
      <x:c r="R24" s="23" t="n">
        <x:v>2</x:v>
      </x:c>
      <x:c r="S24" s="23" t="n">
        <x:v>3</x:v>
      </x:c>
      <x:c r="T24" s="23" t="n">
        <x:v>5</x:v>
      </x:c>
      <x:c r="U24" s="23" t="n">
        <x:v>5</x:v>
      </x:c>
      <x:c r="V24" s="23" t="n">
        <x:v>92</x:v>
      </x:c>
      <x:c r="W24" s="20" t="str">
        <x:v>开埠/更新</x:v>
      </x:c>
      <x:c r="X24" s="20" t="str">
        <x:v>D4A核心</x:v>
      </x:c>
      <x:c r="Y24" s="20" t="str">
        <x:v>https://www.cq.gov.cn/ywdt/jrcq/202605/t20260506_15650945.html</x:v>
      </x:c>
      <x:c r="Z24" s="20" t="str">
        <x:v>未开放区域或商业活动变化时现场压缩</x:v>
      </x:c>
      <x:c r="AA24" s="20" t="str">
        <x:v>开埠|南岸|龙门浩|下浩里</x:v>
      </x:c>
      <x:c r="AB24" s="20" t="str">
        <x:v>想看近代世界联系|已看过首访景点</x:v>
      </x:c>
      <x:c r="AC24" s="23" t="n">
        <x:v>4</x:v>
      </x:c>
      <x:c r="AD24" s="23" t="n">
        <x:v>5</x:v>
      </x:c>
      <x:c r="AE24" s="23" t="n">
        <x:v>4</x:v>
      </x:c>
      <x:c r="AF24" s="23" t="n">
        <x:v>1</x:v>
      </x:c>
      <x:c r="AG24" s="23" t="n">
        <x:v>3</x:v>
      </x:c>
      <x:c r="AH24" s="23" t="n">
        <x:v>4</x:v>
      </x:c>
      <x:c r="AI24" s="23" t="n">
        <x:v>3</x:v>
      </x:c>
      <x:c r="AJ24" s="23" t="n">
        <x:v>5</x:v>
      </x:c>
      <x:c r="AK24" s="20" t="str">
        <x:v>未开放区域或商业活动变化时压缩</x:v>
      </x:c>
      <x:c r="AL24" s="20" t="str">
        <x:v>当天开放与施工</x:v>
      </x:c>
      <x:c r="AM24" s="20" t="str">
        <x:v>沿江岸追踪开埠、机构、建筑和当代更新。</x:v>
      </x:c>
      <x:c r="AN24" s="20" t="str">
        <x:v>沿线开放与施工变化较快，路线会在出发前复核。</x:v>
      </x:c>
    </x:row>
    <x:row r="25" ht="64" customHeight="1">
      <x:c r="A25" s="20" t="str">
        <x:v>RM20</x:v>
      </x:c>
      <x:c r="B25" s="20" t="str">
        <x:v>D4</x:v>
      </x:c>
      <x:c r="C25" s="20" t="str">
        <x:v>开埠徒步</x:v>
      </x:c>
      <x:c r="D25" s="20" t="str">
        <x:v>黄葛古道下行</x:v>
      </x:c>
      <x:c r="E25" s="20" t="str">
        <x:v>核心解释</x:v>
      </x:c>
      <x:c r="F25" s="20" t="str">
        <x:v>CQ027|CQ028</x:v>
      </x:c>
      <x:c r="G25" s="20" t="str">
        <x:v>黄桷垭—黄葛古道—上新街</x:v>
      </x:c>
      <x:c r="H25" s="20" t="str">
        <x:v>走一条旧山路，理解现代道路出现前的人、货物和信息如何跨越山体。</x:v>
      </x:c>
      <x:c r="I25" s="20" t="str">
        <x:v>古道首先是移动基础设施，其次才是徒步景点。</x:v>
      </x:c>
      <x:c r="J25" s="20" t="str">
        <x:v>记录铺装、排水、树荫、房屋和现代断点。</x:v>
      </x:c>
      <x:c r="K25" s="23" t="n">
        <x:v>210</x:v>
      </x:c>
      <x:c r="L25" s="23" t="n">
        <x:v>3</x:v>
      </x:c>
      <x:c r="M25" s="23" t="n">
        <x:v>1</x:v>
      </x:c>
      <x:c r="N25" s="23" t="n">
        <x:v>1</x:v>
      </x:c>
      <x:c r="O25" s="23" t="n">
        <x:v>2</x:v>
      </x:c>
      <x:c r="P25" s="23" t="n">
        <x:v>4</x:v>
      </x:c>
      <x:c r="Q25" s="23" t="n">
        <x:v>5</x:v>
      </x:c>
      <x:c r="R25" s="23" t="n">
        <x:v>3</x:v>
      </x:c>
      <x:c r="S25" s="23" t="n">
        <x:v>1</x:v>
      </x:c>
      <x:c r="T25" s="23" t="n">
        <x:v>5</x:v>
      </x:c>
      <x:c r="U25" s="23" t="n">
        <x:v>5</x:v>
      </x:c>
      <x:c r="V25" s="23" t="n">
        <x:v>88</x:v>
      </x:c>
      <x:c r="W25" s="20" t="str">
        <x:v>高体力步道</x:v>
      </x:c>
      <x:c r="X25" s="20" t="str">
        <x:v>D4A核心</x:v>
      </x:c>
      <x:c r="Y25" s="20" t="str">
        <x:v>https://www.shplanning.com.cn/archive/download/id/487.html</x:v>
      </x:c>
      <x:c r="Z25" s="20" t="str">
        <x:v>雨天、低体力或未取得可靠轨迹即删除</x:v>
      </x:c>
      <x:c r="AA25" s="20" t="str">
        <x:v>黄葛古道|徒步|古道|山路</x:v>
      </x:c>
      <x:c r="AB25" s="20" t="str">
        <x:v>想挑战真正的山城路线|重视基础设施史</x:v>
      </x:c>
      <x:c r="AC25" s="23" t="n">
        <x:v>4</x:v>
      </x:c>
      <x:c r="AD25" s="23" t="n">
        <x:v>5</x:v>
      </x:c>
      <x:c r="AE25" s="23" t="n">
        <x:v>5</x:v>
      </x:c>
      <x:c r="AF25" s="23" t="n">
        <x:v>1</x:v>
      </x:c>
      <x:c r="AG25" s="23" t="n">
        <x:v>1</x:v>
      </x:c>
      <x:c r="AH25" s="23" t="n">
        <x:v>4</x:v>
      </x:c>
      <x:c r="AI25" s="23" t="n">
        <x:v>2</x:v>
      </x:c>
      <x:c r="AJ25" s="23" t="n">
        <x:v>5</x:v>
      </x:c>
      <x:c r="AK25" s="20" t="str">
        <x:v>雨天、低体力、膝关节问题或轨迹不可靠时删除</x:v>
      </x:c>
      <x:c r="AL25" s="20" t="str">
        <x:v>连续台阶能力|鞋具|天气</x:v>
      </x:c>
      <x:c r="AM25" s="20" t="str">
        <x:v>把古道当作人和货物翻越山体的旧基础设施。</x:v>
      </x:c>
      <x:c r="AN25" s="20" t="str">
        <x:v>需要可靠鞋具和较强台阶能力；雨天不建议安排。</x:v>
      </x:c>
    </x:row>
    <x:row r="26" ht="64" customHeight="1">
      <x:c r="A26" s="20" t="str">
        <x:v>RM21</x:v>
      </x:c>
      <x:c r="B26" s="20" t="str">
        <x:v>D4</x:v>
      </x:c>
      <x:c r="C26" s="20" t="str">
        <x:v>开埠徒步</x:v>
      </x:c>
      <x:c r="D26" s="20" t="str">
        <x:v>南岸夜景收束</x:v>
      </x:c>
      <x:c r="E26" s="20" t="str">
        <x:v>引流钩子</x:v>
      </x:c>
      <x:c r="F26" s="20" t="str">
        <x:v>CQ034|CQ026</x:v>
      </x:c>
      <x:c r="G26" s="20" t="str">
        <x:v>南滨路—索道条件使用</x:v>
      </x:c>
      <x:c r="H26" s="20" t="str">
        <x:v>从南岸回看主城，把前三天的江、桥、崖和楼群收束起来。</x:v>
      </x:c>
      <x:c r="I26" s="20" t="str">
        <x:v>索道只在排队和天气可接受时使用。</x:v>
      </x:c>
      <x:c r="J26" s="20" t="str">
        <x:v>从南岸指出朝天门、渝中山脊和跨江交通。</x:v>
      </x:c>
      <x:c r="K26" s="23" t="n">
        <x:v>100</x:v>
      </x:c>
      <x:c r="L26" s="23" t="n">
        <x:v>1</x:v>
      </x:c>
      <x:c r="M26" s="23" t="n">
        <x:v>2</x:v>
      </x:c>
      <x:c r="N26" s="23" t="n">
        <x:v>2</x:v>
      </x:c>
      <x:c r="O26" s="23" t="n">
        <x:v>3</x:v>
      </x:c>
      <x:c r="P26" s="23" t="n">
        <x:v>4</x:v>
      </x:c>
      <x:c r="Q26" s="23" t="n">
        <x:v>3</x:v>
      </x:c>
      <x:c r="R26" s="23" t="n">
        <x:v>2</x:v>
      </x:c>
      <x:c r="S26" s="23" t="n">
        <x:v>4</x:v>
      </x:c>
      <x:c r="T26" s="23" t="n">
        <x:v>3</x:v>
      </x:c>
      <x:c r="U26" s="23" t="n">
        <x:v>4</x:v>
      </x:c>
      <x:c r="V26" s="23" t="n">
        <x:v>66</x:v>
      </x:c>
      <x:c r="W26" s="20" t="str">
        <x:v>夜景/观景</x:v>
      </x:c>
      <x:c r="X26" s="20" t="str">
        <x:v>D4A补充</x:v>
      </x:c>
      <x:c r="Y26" s="20" t="str">
        <x:v>https://www.cqsuodao.com/zhangjiangsuodao.html</x:v>
      </x:c>
      <x:c r="Z26" s="20" t="str">
        <x:v>已有RM04且时间不足时删除</x:v>
      </x:c>
      <x:c r="AA26" s="20" t="str">
        <x:v>南滨路|索道|夜景|收官</x:v>
      </x:c>
      <x:c r="AB26" s="20" t="str">
        <x:v>想在最后一晚总结城市|需要经典夜景</x:v>
      </x:c>
      <x:c r="AC26" s="23" t="n">
        <x:v>5</x:v>
      </x:c>
      <x:c r="AD26" s="23" t="n">
        <x:v>2</x:v>
      </x:c>
      <x:c r="AE26" s="23" t="n">
        <x:v>2</x:v>
      </x:c>
      <x:c r="AF26" s="23" t="n">
        <x:v>1</x:v>
      </x:c>
      <x:c r="AG26" s="23" t="n">
        <x:v>3</x:v>
      </x:c>
      <x:c r="AH26" s="23" t="n">
        <x:v>5</x:v>
      </x:c>
      <x:c r="AI26" s="23" t="n">
        <x:v>3</x:v>
      </x:c>
      <x:c r="AJ26" s="23" t="n">
        <x:v>3</x:v>
      </x:c>
      <x:c r="AK26" s="20" t="str">
        <x:v>已有同类夜景且时间不足时删除</x:v>
      </x:c>
      <x:c r="AL26" s="20" t="str">
        <x:v>夜间结束时间|排队容忍度</x:v>
      </x:c>
      <x:c r="AM26" s="20" t="str">
        <x:v>从南岸把走过的江岸、山脊和交通重新连起来。</x:v>
      </x:c>
      <x:c r="AN26" s="20" t="str">
        <x:v>排队和天气不理想时改为南岸固定江景，不强求乘索道。</x:v>
      </x:c>
    </x:row>
    <x:row r="27" ht="64" customHeight="1">
      <x:c r="A27" s="20" t="str">
        <x:v>RM22</x:v>
      </x:c>
      <x:c r="B27" s="20" t="str">
        <x:v>D4</x:v>
      </x:c>
      <x:c r="C27" s="20" t="str">
        <x:v>工业艺术</x:v>
      </x:c>
      <x:c r="D27" s="20" t="str">
        <x:v>艺术学院与社区表面</x:v>
      </x:c>
      <x:c r="E27" s="20" t="str">
        <x:v>核心解释</x:v>
      </x:c>
      <x:c r="F27" s="20" t="str">
        <x:v>CQ029|CQ031</x:v>
      </x:c>
      <x:c r="G27" s="20" t="str">
        <x:v>黄桷坪涂鸦街—川美周边</x:v>
      </x:c>
      <x:c r="H27" s="20" t="str">
        <x:v>区分学院艺术、社区生活、委托壁画和商业模仿。</x:v>
      </x:c>
      <x:c r="I27" s="20" t="str">
        <x:v>不是每面墙都值得拍，重点是艺术如何进入社区。</x:v>
      </x:c>
      <x:c r="J27" s="20" t="str">
        <x:v>选择一段街道记录四种不同生产者。</x:v>
      </x:c>
      <x:c r="K27" s="23" t="n">
        <x:v>120</x:v>
      </x:c>
      <x:c r="L27" s="23" t="n">
        <x:v>2</x:v>
      </x:c>
      <x:c r="M27" s="23" t="n">
        <x:v>2</x:v>
      </x:c>
      <x:c r="N27" s="23" t="n">
        <x:v>2</x:v>
      </x:c>
      <x:c r="O27" s="23" t="n">
        <x:v>2</x:v>
      </x:c>
      <x:c r="P27" s="23" t="n">
        <x:v>4</x:v>
      </x:c>
      <x:c r="Q27" s="23" t="n">
        <x:v>3</x:v>
      </x:c>
      <x:c r="R27" s="23" t="n">
        <x:v>2</x:v>
      </x:c>
      <x:c r="S27" s="23" t="n">
        <x:v>3</x:v>
      </x:c>
      <x:c r="T27" s="23" t="n">
        <x:v>5</x:v>
      </x:c>
      <x:c r="U27" s="23" t="n">
        <x:v>4</x:v>
      </x:c>
      <x:c r="V27" s="23" t="n">
        <x:v>78</x:v>
      </x:c>
      <x:c r="W27" s="20" t="str">
        <x:v>艺术社区</x:v>
      </x:c>
      <x:c r="X27" s="20" t="str">
        <x:v>D4B核心</x:v>
      </x:c>
      <x:c r="Y27" s="20" t="str">
        <x:v>https://mzj.cq.gov.cn/sy_218/bmdt/mzyw/t_14233171.html</x:v>
      </x:c>
      <x:c r="Z27" s="20" t="str">
        <x:v>校园或展览不开放时保留社区观察</x:v>
      </x:c>
      <x:c r="AA27" s="20" t="str">
        <x:v>黄桷坪|涂鸦|川美|艺术</x:v>
      </x:c>
      <x:c r="AB27" s="20" t="str">
        <x:v>想找非标准化街区|创作者或艺术兴趣</x:v>
      </x:c>
      <x:c r="AC27" s="23" t="n">
        <x:v>4</x:v>
      </x:c>
      <x:c r="AD27" s="23" t="n">
        <x:v>3</x:v>
      </x:c>
      <x:c r="AE27" s="23" t="n">
        <x:v>5</x:v>
      </x:c>
      <x:c r="AF27" s="23" t="n">
        <x:v>1</x:v>
      </x:c>
      <x:c r="AG27" s="23" t="n">
        <x:v>3</x:v>
      </x:c>
      <x:c r="AH27" s="23" t="n">
        <x:v>5</x:v>
      </x:c>
      <x:c r="AI27" s="23" t="n">
        <x:v>3</x:v>
      </x:c>
      <x:c r="AJ27" s="23" t="n">
        <x:v>5</x:v>
      </x:c>
      <x:c r="AK27" s="20" t="str">
        <x:v>校园或展览不开放时只保留社区观察</x:v>
      </x:c>
      <x:c r="AL27" s="20" t="str">
        <x:v>拍摄用途|展览开放</x:v>
      </x:c>
      <x:c r="AM27" s="20" t="str">
        <x:v>区分学院艺术、社区生活、委托壁画与商业模仿。</x:v>
      </x:c>
      <x:c r="AN27" s="20" t="str">
        <x:v>校园和展览开放可能变化，无法进入时仍可完成社区观察。</x:v>
      </x:c>
    </x:row>
    <x:row r="28" ht="64" customHeight="1">
      <x:c r="A28" s="20" t="str">
        <x:v>RM23</x:v>
      </x:c>
      <x:c r="B28" s="20" t="str">
        <x:v>D4</x:v>
      </x:c>
      <x:c r="C28" s="20" t="str">
        <x:v>工业艺术</x:v>
      </x:c>
      <x:c r="D28" s="20" t="str">
        <x:v>茶馆社会空间</x:v>
      </x:c>
      <x:c r="E28" s="20" t="str">
        <x:v>真实生活/付费体验</x:v>
      </x:c>
      <x:c r="F28" s="20" t="str">
        <x:v>CQ030</x:v>
      </x:c>
      <x:c r="G28" s="20" t="str">
        <x:v>交通茶馆</x:v>
      </x:c>
      <x:c r="H28" s="20" t="str">
        <x:v>进入一个仍在运行的社会空间，而不是安排一次闯入式摄影。</x:v>
      </x:c>
      <x:c r="I28" s="20" t="str">
        <x:v>茶馆的价值来自规则、常客和相处方式。</x:v>
      </x:c>
      <x:c r="J28" s="20" t="str">
        <x:v>先喝茶观察，再经同意拍摄。</x:v>
      </x:c>
      <x:c r="K28" s="23" t="n">
        <x:v>75</x:v>
      </x:c>
      <x:c r="L28" s="23" t="n">
        <x:v>1</x:v>
      </x:c>
      <x:c r="M28" s="23" t="n">
        <x:v>3</x:v>
      </x:c>
      <x:c r="N28" s="23" t="n">
        <x:v>3</x:v>
      </x:c>
      <x:c r="O28" s="23" t="n">
        <x:v>2</x:v>
      </x:c>
      <x:c r="P28" s="23" t="n">
        <x:v>4</x:v>
      </x:c>
      <x:c r="Q28" s="23" t="n">
        <x:v>3</x:v>
      </x:c>
      <x:c r="R28" s="23" t="n">
        <x:v>5</x:v>
      </x:c>
      <x:c r="S28" s="23" t="n">
        <x:v>2</x:v>
      </x:c>
      <x:c r="T28" s="23" t="n">
        <x:v>5</x:v>
      </x:c>
      <x:c r="U28" s="23" t="n">
        <x:v>5</x:v>
      </x:c>
      <x:c r="V28" s="23" t="n">
        <x:v>72</x:v>
      </x:c>
      <x:c r="W28" s="20" t="str">
        <x:v>社区/生活</x:v>
      </x:c>
      <x:c r="X28" s="20" t="str">
        <x:v>严格条件</x:v>
      </x:c>
      <x:c r="Y28" s="20" t="str">
        <x:v>https://mzj.cq.gov.cn/sy_218/bmdt/mzyw/t_14233171.html</x:v>
      </x:c>
      <x:c r="Z28" s="20" t="str">
        <x:v>无店方许可、人数价格和拍摄规则即删除</x:v>
      </x:c>
      <x:c r="AA28" s="20" t="str">
        <x:v>交通茶馆|老茶馆|当地人|人文摄影</x:v>
      </x:c>
      <x:c r="AB28" s="20" t="str">
        <x:v>想与本地人有真实接触|不想被商业化安排</x:v>
      </x:c>
      <x:c r="AC28" s="23" t="n">
        <x:v>2</x:v>
      </x:c>
      <x:c r="AD28" s="23" t="n">
        <x:v>2</x:v>
      </x:c>
      <x:c r="AE28" s="23" t="n">
        <x:v>5</x:v>
      </x:c>
      <x:c r="AF28" s="23" t="n">
        <x:v>4</x:v>
      </x:c>
      <x:c r="AG28" s="23" t="n">
        <x:v>3</x:v>
      </x:c>
      <x:c r="AH28" s="23" t="n">
        <x:v>4</x:v>
      </x:c>
      <x:c r="AI28" s="23" t="n">
        <x:v>2</x:v>
      </x:c>
      <x:c r="AJ28" s="23" t="n">
        <x:v>5</x:v>
      </x:c>
      <x:c r="AK28" s="20" t="str">
        <x:v>无店方许可、价格人数和拍摄规则时删除</x:v>
      </x:c>
      <x:c r="AL28" s="20" t="str">
        <x:v>拍摄许可|人数|价格|社交边界</x:v>
      </x:c>
      <x:c r="AM28" s="20" t="str">
        <x:v>先学习规则再进入仍在运行的社会空间。</x:v>
      </x:c>
      <x:c r="AN28" s="20" t="str">
        <x:v>需遵守店方和常客边界；拍摄、人数、价格必须提前获得同意。</x:v>
      </x:c>
    </x:row>
    <x:row r="29" ht="64" customHeight="1">
      <x:c r="A29" s="21" t="str">
        <x:v>RM24</x:v>
      </x:c>
      <x:c r="B29" s="21" t="str">
        <x:v>D4</x:v>
      </x:c>
      <x:c r="C29" s="21" t="str">
        <x:v>工业艺术</x:v>
      </x:c>
      <x:c r="D29" s="21" t="str">
        <x:v>防空洞、工业与博物馆</x:v>
      </x:c>
      <x:c r="E29" s="21" t="str">
        <x:v>核心解释</x:v>
      </x:c>
      <x:c r="F29" s="21" t="str">
        <x:v>CQ032|CQ033</x:v>
      </x:c>
      <x:c r="G29" s="21" t="str">
        <x:v>建川博物馆聚落—皇冠大扶梯条件使用</x:v>
      </x:c>
      <x:c r="H29" s="21" t="str">
        <x:v>用防空洞空间和工业遗存收束战争、制造业与现代交通。</x:v>
      </x:c>
      <x:c r="I29" s="21" t="str">
        <x:v>先读空间，再看展品；扶梯只是补充交通体验。</x:v>
      </x:c>
      <x:c r="J29" s="21" t="str">
        <x:v>比较洞体、展陈和城市交通的不同时间层。</x:v>
      </x:c>
      <x:c r="K29" s="24" t="n">
        <x:v>190</x:v>
      </x:c>
      <x:c r="L29" s="24" t="n">
        <x:v>2</x:v>
      </x:c>
      <x:c r="M29" s="24" t="n">
        <x:v>3</x:v>
      </x:c>
      <x:c r="N29" s="24" t="n">
        <x:v>3</x:v>
      </x:c>
      <x:c r="O29" s="24" t="n">
        <x:v>3</x:v>
      </x:c>
      <x:c r="P29" s="24" t="n">
        <x:v>4</x:v>
      </x:c>
      <x:c r="Q29" s="24" t="n">
        <x:v>5</x:v>
      </x:c>
      <x:c r="R29" s="24" t="n">
        <x:v>2</x:v>
      </x:c>
      <x:c r="S29" s="24" t="n">
        <x:v>4</x:v>
      </x:c>
      <x:c r="T29" s="24" t="n">
        <x:v>5</x:v>
      </x:c>
      <x:c r="U29" s="24" t="n">
        <x:v>5</x:v>
      </x:c>
      <x:c r="V29" s="24" t="n">
        <x:v>86</x:v>
      </x:c>
      <x:c r="W29" s="21" t="str">
        <x:v>工业/战争</x:v>
      </x:c>
      <x:c r="X29" s="21" t="str">
        <x:v>D4B核心</x:v>
      </x:c>
      <x:c r="Y29" s="21" t="str">
        <x:v>https://whlyw.cq.gov.cn/hdjl_221/xzzq/202601/t20260115_15320860.html</x:v>
      </x:c>
      <x:c r="Z29" s="21" t="str">
        <x:v>英文展陈不足时减少历史承诺</x:v>
      </x:c>
      <x:c r="AA29" s="21" t="str">
        <x:v>防空洞|工业|建川博物馆|扶梯</x:v>
      </x:c>
      <x:c r="AB29" s="21" t="str">
        <x:v>想理解工业和战争|复游者需要新主题</x:v>
      </x:c>
      <x:c r="AC29" s="24" t="n">
        <x:v>4</x:v>
      </x:c>
      <x:c r="AD29" s="24" t="n">
        <x:v>5</x:v>
      </x:c>
      <x:c r="AE29" s="24" t="n">
        <x:v>3</x:v>
      </x:c>
      <x:c r="AF29" s="24" t="n">
        <x:v>1</x:v>
      </x:c>
      <x:c r="AG29" s="24" t="n">
        <x:v>4</x:v>
      </x:c>
      <x:c r="AH29" s="24" t="n">
        <x:v>4</x:v>
      </x:c>
      <x:c r="AI29" s="24" t="n">
        <x:v>4</x:v>
      </x:c>
      <x:c r="AJ29" s="24" t="n">
        <x:v>5</x:v>
      </x:c>
      <x:c r="AK29" s="21" t="str">
        <x:v>英文展陈不足时减少历史承诺</x:v>
      </x:c>
      <x:c r="AL29" s="21" t="str">
        <x:v>开放时间|英语支持</x:v>
      </x:c>
      <x:c r="AM29" s="21" t="str">
        <x:v>先读防空洞空间，再连接战争、制造业与现代交通。</x:v>
      </x:c>
      <x:c r="AN29" s="21" t="str">
        <x:v>场馆开放和英文展陈需复核；扶梯只作为条件交通体验。</x:v>
      </x:c>
    </x:row>
  </x:sheetData>
  <x:mergeCells>
    <x:mergeCell ref="A1:AN1"/>
    <x:mergeCell ref="A2:AN2"/>
  </x:mergeCells>
  <x:conditionalFormatting sqref="L6:N29">
    <x:cfRule type="colorScale" priority="1">
      <x:colorScale>
        <x:cfvo type="min"/>
        <x:cfvo type="percentile" val="50"/>
        <x:cfvo type="max"/>
        <x:color rgb="FFFBE5E5"/>
        <x:color rgb="FFFFF1D6"/>
        <x:color rgb="FFE3F1EA"/>
      </x:colorScale>
    </x:cfRule>
  </x:conditionalFormatting>
  <x:conditionalFormatting sqref="O6:U29">
    <x:cfRule type="colorScale" priority="2">
      <x:colorScale>
        <x:cfvo type="min"/>
        <x:cfvo type="percentile" val="50"/>
        <x:cfvo type="max"/>
        <x:color rgb="FFFBE5E5"/>
        <x:color rgb="FFFFF1D6"/>
        <x:color rgb="FFE3F1EA"/>
      </x:colorScale>
    </x:cfRule>
  </x:conditionalFormatting>
  <x:conditionalFormatting sqref="AC6:AJ29">
    <x:cfRule type="colorScale" priority="3">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60d857b14066492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10" hidden="0" customWidth="1"/>
    <x:col min="4" max="4" width="18" hidden="0" customWidth="1"/>
    <x:col min="5" max="5" width="16" hidden="0" customWidth="1"/>
    <x:col min="6" max="6" width="13" hidden="0" customWidth="1"/>
    <x:col min="7" max="7" width="24" hidden="0" customWidth="1"/>
    <x:col min="8" max="8" width="20" hidden="0" customWidth="1"/>
    <x:col min="9" max="9" width="9" hidden="0" customWidth="1"/>
    <x:col min="10" max="10" width="9" hidden="0" customWidth="1"/>
    <x:col min="11" max="11" width="9" hidden="0" customWidth="1"/>
    <x:col min="12" max="12" width="11" hidden="0" customWidth="1"/>
    <x:col min="13" max="13" width="17" hidden="0" customWidth="1"/>
    <x:col min="14" max="14" width="18" hidden="0" customWidth="1"/>
    <x:col min="15" max="15" width="24" hidden="0" customWidth="1"/>
    <x:col min="16" max="16" width="18" hidden="0" customWidth="1"/>
    <x:col min="17" max="17" width="23" hidden="0" customWidth="1"/>
    <x:col min="18" max="18" width="34" hidden="0" customWidth="1"/>
    <x:col min="19" max="19" width="30" hidden="0" customWidth="1"/>
    <x:col min="20" max="20" width="31" hidden="0" customWidth="1"/>
    <x:col min="21" max="21" width="31" hidden="0" customWidth="1"/>
    <x:col min="22" max="22" width="13" hidden="0" customWidth="1"/>
    <x:col min="23" max="23" width="18" hidden="0" customWidth="1"/>
    <x:col min="24" max="24" width="10" hidden="0" customWidth="1"/>
    <x:col min="25" max="25" width="11" hidden="0" customWidth="1"/>
    <x:col min="26" max="26" width="10" hidden="0" customWidth="1"/>
    <x:col min="27" max="27" width="16" hidden="0" customWidth="1"/>
    <x:col min="28" max="28" width="16" hidden="0" customWidth="1"/>
    <x:col min="29" max="29" width="31" hidden="0" customWidth="1"/>
    <x:col min="30" max="30" width="17" hidden="0" customWidth="1"/>
    <x:col min="31" max="31" width="26" hidden="0" customWidth="1"/>
    <x:col min="32" max="32" width="38" hidden="0" customWidth="1"/>
    <x:col min="33" max="33" width="34" hidden="0" customWidth="1"/>
    <x:col min="34" max="34" width="12" hidden="0" customWidth="1"/>
  </x:cols>
  <x:sheetData>
    <x:row r="1" ht="32" customHeight="1">
      <x:c r="A1" s="3" t="str">
        <x:v>重庆主城｜点位内容母库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点位不是游客输出单位。该表保存完整事实、解释、风险和选择标签；真正对客输出由路线模块和输出器控制。</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5" ht="34" customHeight="1">
      <x:c r="A5" s="11" t="str">
        <x:v>ID</x:v>
      </x:c>
      <x:c r="B5" s="11" t="str">
        <x:v>地点/体验</x:v>
      </x:c>
      <x:c r="C5" s="11" t="str">
        <x:v>区域</x:v>
      </x:c>
      <x:c r="D5" s="11" t="str">
        <x:v>原始模块</x:v>
      </x:c>
      <x:c r="E5" s="11" t="str">
        <x:v>类型</x:v>
      </x:c>
      <x:c r="F5" s="11" t="str">
        <x:v>研究推荐</x:v>
      </x:c>
      <x:c r="G5" s="11" t="str">
        <x:v>产品角色</x:v>
      </x:c>
      <x:c r="H5" s="11" t="str">
        <x:v>原适合客群</x:v>
      </x:c>
      <x:c r="I5" s="11" t="str">
        <x:v>产品分</x:v>
      </x:c>
      <x:c r="J5" s="11" t="str">
        <x:v>证据分</x:v>
      </x:c>
      <x:c r="K5" s="11" t="str">
        <x:v>证据等级</x:v>
      </x:c>
      <x:c r="L5" s="11" t="str">
        <x:v>停留(分钟)</x:v>
      </x:c>
      <x:c r="M5" s="11" t="str">
        <x:v>最佳时段</x:v>
      </x:c>
      <x:c r="N5" s="11" t="str">
        <x:v>交通</x:v>
      </x:c>
      <x:c r="O5" s="11" t="str">
        <x:v>外国人摩擦</x:v>
      </x:c>
      <x:c r="P5" s="11" t="str">
        <x:v>天气/体力</x:v>
      </x:c>
      <x:c r="Q5" s="11" t="str">
        <x:v>风险</x:v>
      </x:c>
      <x:c r="R5" s="11" t="str">
        <x:v>深层解释</x:v>
      </x:c>
      <x:c r="S5" s="11" t="str">
        <x:v>游客观察任务</x:v>
      </x:c>
      <x:c r="T5" s="11" t="str">
        <x:v>来源URL1</x:v>
      </x:c>
      <x:c r="U5" s="11" t="str">
        <x:v>来源URL2</x:v>
      </x:c>
      <x:c r="V5" s="11" t="str">
        <x:v>检查日期</x:v>
      </x:c>
      <x:c r="W5" s="11" t="str">
        <x:v>内容角色</x:v>
      </x:c>
      <x:c r="X5" s="11" t="str">
        <x:v>海外引流力</x:v>
      </x:c>
      <x:c r="Y5" s="11" t="str">
        <x:v>到访满意度</x:v>
      </x:c>
      <x:c r="Z5" s="11" t="str">
        <x:v>付费潜力</x:v>
      </x:c>
      <x:c r="AA5" s="11" t="str">
        <x:v>默认输出级别</x:v>
      </x:c>
      <x:c r="AB5" s="11" t="str">
        <x:v>重复组</x:v>
      </x:c>
      <x:c r="AC5" s="11" t="str">
        <x:v>客群标签</x:v>
      </x:c>
      <x:c r="AD5" s="11" t="str">
        <x:v>适合输出长度</x:v>
      </x:c>
      <x:c r="AE5" s="11" t="str">
        <x:v>游客输出标题</x:v>
      </x:c>
      <x:c r="AF5" s="11" t="str">
        <x:v>对外一句话</x:v>
      </x:c>
      <x:c r="AG5" s="11" t="str">
        <x:v>内部删减规则</x:v>
      </x:c>
      <x:c r="AH5" s="11" t="str">
        <x:v>输出优先分</x:v>
      </x:c>
    </x:row>
    <x:row r="6" ht="56" customHeight="1">
      <x:c r="A6" s="19" t="str">
        <x:v>CQ001</x:v>
      </x:c>
      <x:c r="B6" s="19" t="str">
        <x:v>解放碑纪念碑及步行街</x:v>
      </x:c>
      <x:c r="C6" s="19" t="str">
        <x:v>渝中</x:v>
      </x:c>
      <x:c r="D6" s="19" t="str">
        <x:v>D1立体城市</x:v>
      </x:c>
      <x:c r="E6" s="19" t="str">
        <x:v>城市地标</x:v>
      </x:c>
      <x:c r="F6" s="19" t="str">
        <x:v>必去核心</x:v>
      </x:c>
      <x:c r="G6" s="19" t="str">
        <x:v>方向与时间锚点</x:v>
      </x:c>
      <x:c r="H6" s="19" t="str">
        <x:v>首次来渝/城市观察</x:v>
      </x:c>
      <x:c r="I6" s="22" t="n">
        <x:v>88</x:v>
      </x:c>
      <x:c r="J6" s="22" t="n">
        <x:v>80</x:v>
      </x:c>
      <x:c r="K6" s="19" t="str">
        <x:v>B</x:v>
      </x:c>
      <x:c r="L6" s="22" t="n">
        <x:v>30</x:v>
      </x:c>
      <x:c r="M6" s="19" t="str">
        <x:v>09:00前或夜间</x:v>
      </x:c>
      <x:c r="N6" s="19" t="str">
        <x:v>较场口/临江门步行</x:v>
      </x:c>
      <x:c r="O6" s="19" t="str">
        <x:v>商业区英语较好；需解释碑而非只说CBD</x:v>
      </x:c>
      <x:c r="P6" s="19" t="str">
        <x:v>雨天可保留</x:v>
      </x:c>
      <x:c r="Q6" s="19" t="str">
        <x:v>节假日封控、人流</x:v>
      </x:c>
      <x:c r="R6" s="19" t="str">
        <x:v>从战争纪念物到商业中心的城市中心迁移</x:v>
      </x:c>
      <x:c r="S6" s="19" t="str">
        <x:v>辨认碑文、道路放射与人流方向</x:v>
      </x:c>
      <x:c r="T6" s="19" t="str">
        <x:v>https://www.cq.gov.cn/ywdt/zwhd/qxdt/202009/t20200907_8628081.html</x:v>
      </x:c>
      <x:c r="U6" s="19" t="str">
        <x:v>https://www.reddit.com/r/travelchina/comments/1qvjkgb/chongqing_25_days_itinerary/</x:v>
      </x:c>
      <x:c r="V6" s="19" t="str">
        <x:v>2026-07-28</x:v>
      </x:c>
      <x:c r="W6" s="19" t="str">
        <x:v>核心解释</x:v>
      </x:c>
      <x:c r="X6" s="22" t="n">
        <x:v>4</x:v>
      </x:c>
      <x:c r="Y6" s="22" t="n">
        <x:v>2</x:v>
      </x:c>
      <x:c r="Z6" s="22" t="n">
        <x:v>2</x:v>
      </x:c>
      <x:c r="AA6" s="19" t="str">
        <x:v>B 按兴趣</x:v>
      </x:c>
      <x:c r="AB6" s="19" t="str">
        <x:v>独立主题</x:v>
      </x:c>
      <x:c r="AC6" s="19" t="str">
        <x:v>文化历史|首次经典</x:v>
      </x:c>
      <x:c r="AD6" s="19" t="str">
        <x:v>标准|深度</x:v>
      </x:c>
      <x:c r="AE6" s="19" t="str">
        <x:v>方向与时间锚点</x:v>
      </x:c>
      <x:c r="AF6" s="19" t="str">
        <x:v>方向与时间锚点。从战争纪念物到商业中心的城市中心迁移</x:v>
      </x:c>
      <x:c r="AG6" s="19" t="str">
        <x:v>节假日封控、人流</x:v>
      </x:c>
      <x:c r="AH6" s="22" t="n">
        <x:f>ROUND(I6*'参数字典'!$B$16+J6*'参数字典'!$B$17+X6*20*'参数字典'!$B$18+Y6*20*'参数字典'!$B$19+Z6*20*'参数字典'!$B$20,0)</x:f>
        <x:v>64</x:v>
      </x:c>
    </x:row>
    <x:row r="7" ht="56" customHeight="1">
      <x:c r="A7" s="20" t="str">
        <x:v>CQ002</x:v>
      </x:c>
      <x:c r="B7" s="20" t="str">
        <x:v>罗汉寺</x:v>
      </x:c>
      <x:c r="C7" s="20" t="str">
        <x:v>渝中</x:v>
      </x:c>
      <x:c r="D7" s="20" t="str">
        <x:v>D1立体城市</x:v>
      </x:c>
      <x:c r="E7" s="20" t="str">
        <x:v>宗教建筑</x:v>
      </x:c>
      <x:c r="F7" s="20" t="str">
        <x:v>深度推荐</x:v>
      </x:c>
      <x:c r="G7" s="20" t="str">
        <x:v>摩天楼夹缝中的宗教空间</x:v>
      </x:c>
      <x:c r="H7" s="20" t="str">
        <x:v>文化/建筑/摄影</x:v>
      </x:c>
      <x:c r="I7" s="23" t="n">
        <x:v>84</x:v>
      </x:c>
      <x:c r="J7" s="23" t="n">
        <x:v>63</x:v>
      </x:c>
      <x:c r="K7" s="20" t="str">
        <x:v>C</x:v>
      </x:c>
      <x:c r="L7" s="23" t="n">
        <x:v>45</x:v>
      </x:c>
      <x:c r="M7" s="20" t="str">
        <x:v>上午</x:v>
      </x:c>
      <x:c r="N7" s="20" t="str">
        <x:v>小什字步行</x:v>
      </x:c>
      <x:c r="O7" s="20" t="str">
        <x:v>英文解释与礼仪提示不足</x:v>
      </x:c>
      <x:c r="P7" s="20" t="str">
        <x:v>雨天核心</x:v>
      </x:c>
      <x:c r="Q7" s="20" t="str">
        <x:v>宗教礼仪、香火与拍摄边界</x:v>
      </x:c>
      <x:c r="R7" s="20" t="str">
        <x:v>不要只讲电影取景；讲城市密度与宗教日常</x:v>
      </x:c>
      <x:c r="S7" s="20" t="str">
        <x:v>观察寺门外商业噪音如何被院落切断</x:v>
      </x:c>
      <x:c r="T7" s="20" t="str">
        <x:v>https://www.cq.gov.cn/zwgk/zfxxgkml/zdlyxxgk/ggwh/ly/zxdt/202511/t20251107_15146900.html</x:v>
      </x:c>
      <x:c r="U7" s="20" t="str">
        <x:v>https://www.reddit.com/r/travelchina/comments/1qvjkgb/chongqing_25_days_itinerary/</x:v>
      </x:c>
      <x:c r="V7" s="20" t="str">
        <x:v>2026-07-28</x:v>
      </x:c>
      <x:c r="W7" s="20" t="str">
        <x:v>核心解释</x:v>
      </x:c>
      <x:c r="X7" s="23" t="n">
        <x:v>3</x:v>
      </x:c>
      <x:c r="Y7" s="23" t="n">
        <x:v>4</x:v>
      </x:c>
      <x:c r="Z7" s="23" t="n">
        <x:v>2</x:v>
      </x:c>
      <x:c r="AA7" s="20" t="str">
        <x:v>B 按兴趣</x:v>
      </x:c>
      <x:c r="AB7" s="20" t="str">
        <x:v>独立主题</x:v>
      </x:c>
      <x:c r="AC7" s="20" t="str">
        <x:v>赛博摄影|文化历史|首次经典</x:v>
      </x:c>
      <x:c r="AD7" s="20" t="str">
        <x:v>标准|深度</x:v>
      </x:c>
      <x:c r="AE7" s="20" t="str">
        <x:v>摩天楼夹缝中的宗教空间</x:v>
      </x:c>
      <x:c r="AF7" s="20" t="str">
        <x:v>摩天楼夹缝中的宗教空间。不要只讲电影取景；讲城市密度与宗教日常</x:v>
      </x:c>
      <x:c r="AG7" s="20" t="str">
        <x:v>宗教礼仪、香火与拍摄边界</x:v>
      </x:c>
      <x:c r="AH7" s="23" t="n">
        <x:f>ROUND(I7*'参数字典'!$B$16+J7*'参数字典'!$B$17+X7*20*'参数字典'!$B$18+Y7*20*'参数字典'!$B$19+Z7*20*'参数字典'!$B$20,0)</x:f>
        <x:v>68</x:v>
      </x:c>
    </x:row>
    <x:row r="8" ht="56" customHeight="1">
      <x:c r="A8" s="20" t="str">
        <x:v>CQ003</x:v>
      </x:c>
      <x:c r="B8" s="20" t="str">
        <x:v>魁星楼与高差平台</x:v>
      </x:c>
      <x:c r="C8" s="20" t="str">
        <x:v>渝中</x:v>
      </x:c>
      <x:c r="D8" s="20" t="str">
        <x:v>D1立体城市</x:v>
      </x:c>
      <x:c r="E8" s="20" t="str">
        <x:v>垂直空间</x:v>
      </x:c>
      <x:c r="F8" s="20" t="str">
        <x:v>必去核心</x:v>
      </x:c>
      <x:c r="G8" s="20" t="str">
        <x:v>第一处多重地面演示</x:v>
      </x:c>
      <x:c r="H8" s="20" t="str">
        <x:v>首次来渝/建筑/摄影</x:v>
      </x:c>
      <x:c r="I8" s="23" t="n">
        <x:v>87</x:v>
      </x:c>
      <x:c r="J8" s="23" t="n">
        <x:v>72</x:v>
      </x:c>
      <x:c r="K8" s="20" t="str">
        <x:v>B</x:v>
      </x:c>
      <x:c r="L8" s="23" t="n">
        <x:v>30</x:v>
      </x:c>
      <x:c r="M8" s="20" t="str">
        <x:v>上午或蓝调时刻</x:v>
      </x:c>
      <x:c r="N8" s="20" t="str">
        <x:v>临江门步行</x:v>
      </x:c>
      <x:c r="O8" s="20" t="str">
        <x:v>入口层级和地图误差</x:v>
      </x:c>
      <x:c r="P8" s="20" t="str">
        <x:v>小雨可；大雨防滑</x:v>
      </x:c>
      <x:c r="Q8" s="20" t="str">
        <x:v>商业楼内外边界、拥挤</x:v>
      </x:c>
      <x:c r="R8" s="20" t="str">
        <x:v>把“22层是广场”解释为多重地面与连接系统</x:v>
      </x:c>
      <x:c r="S8" s="20" t="str">
        <x:v>让游客先预测自己在几层，再走到桥面校正</x:v>
      </x:c>
      <x:c r="T8" s="20" t="str">
        <x:v>https://doi.org/10.17645/up.v7i4.5810</x:v>
      </x:c>
      <x:c r="U8" s="20" t="str">
        <x:v>https://www.reddit.com/r/travelchina/comments/1t4cdvm/help_planning_chongqing/</x:v>
      </x:c>
      <x:c r="V8" s="20" t="str">
        <x:v>2026-07-28</x:v>
      </x:c>
      <x:c r="W8" s="20" t="str">
        <x:v>引流钩子</x:v>
      </x:c>
      <x:c r="X8" s="23" t="n">
        <x:v>5</x:v>
      </x:c>
      <x:c r="Y8" s="23" t="n">
        <x:v>5</x:v>
      </x:c>
      <x:c r="Z8" s="23" t="n">
        <x:v>4</x:v>
      </x:c>
      <x:c r="AA8" s="20" t="str">
        <x:v>A 必须</x:v>
      </x:c>
      <x:c r="AB8" s="20" t="str">
        <x:v>独立主题</x:v>
      </x:c>
      <x:c r="AC8" s="20" t="str">
        <x:v>赛博摄影|首次经典</x:v>
      </x:c>
      <x:c r="AD8" s="20" t="str">
        <x:v>精简|标准|深度</x:v>
      </x:c>
      <x:c r="AE8" s="20" t="str">
        <x:v>第一处多重地面演示</x:v>
      </x:c>
      <x:c r="AF8" s="20" t="str">
        <x:v>第一处多重地面演示。把“22层是广场”解释为多重地面与连接系统</x:v>
      </x:c>
      <x:c r="AG8" s="20" t="str">
        <x:v>商业楼内外边界、拥挤</x:v>
      </x:c>
      <x:c r="AH8" s="23" t="n">
        <x:f>ROUND(I8*'参数字典'!$B$16+J8*'参数字典'!$B$17+X8*20*'参数字典'!$B$18+Y8*20*'参数字典'!$B$19+Z8*20*'参数字典'!$B$20,0)</x:f>
        <x:v>90</x:v>
      </x:c>
    </x:row>
    <x:row r="9" ht="56" customHeight="1">
      <x:c r="A9" s="20" t="str">
        <x:v>CQ004</x:v>
      </x:c>
      <x:c r="B9" s="20" t="str">
        <x:v>朝天门与两江交汇江岸</x:v>
      </x:c>
      <x:c r="C9" s="20" t="str">
        <x:v>渝中</x:v>
      </x:c>
      <x:c r="D9" s="20" t="str">
        <x:v>D1立体城市</x:v>
      </x:c>
      <x:c r="E9" s="20" t="str">
        <x:v>港口/城市景观</x:v>
      </x:c>
      <x:c r="F9" s="20" t="str">
        <x:v>必去核心</x:v>
      </x:c>
      <x:c r="G9" s="20" t="str">
        <x:v>城市门户与两江关系</x:v>
      </x:c>
      <x:c r="H9" s="20" t="str">
        <x:v>首次来渝/城市史</x:v>
      </x:c>
      <x:c r="I9" s="23" t="n">
        <x:v>98</x:v>
      </x:c>
      <x:c r="J9" s="23" t="n">
        <x:v>81</x:v>
      </x:c>
      <x:c r="K9" s="20" t="str">
        <x:v>B</x:v>
      </x:c>
      <x:c r="L9" s="23" t="n">
        <x:v>75</x:v>
      </x:c>
      <x:c r="M9" s="20" t="str">
        <x:v>下午或日落前</x:v>
      </x:c>
      <x:c r="N9" s="20" t="str">
        <x:v>朝天门站/步行</x:v>
      </x:c>
      <x:c r="O9" s="20" t="str">
        <x:v>地下出口复杂；外部江岸入口易错</x:v>
      </x:c>
      <x:c r="P9" s="20" t="str">
        <x:v>暴雨转来福士室内观察</x:v>
      </x:c>
      <x:c r="Q9" s="20" t="str">
        <x:v>江岸施工、活动管制、暴晒</x:v>
      </x:c>
      <x:c r="R9" s="20" t="str">
        <x:v>朝天门不是购物中心；它是城门、码头与通江达海的门户</x:v>
      </x:c>
      <x:c r="S9" s="20" t="str">
        <x:v>找长江与嘉陵江水色、流向和半岛尖端</x:v>
      </x:c>
      <x:c r="T9" s="20" t="str">
        <x:v>https://www.cq.gov.cn/zwgk/zfxxgkml/zdlyxxgk/ggwh/ly/zxdt/202511/t20251107_15146900.html</x:v>
      </x:c>
      <x:c r="U9" s="20" t="str">
        <x:v>https://www.cq.gov.cn/ywdt/zwhd/qxdt/202009/t20200907_8628081.html</x:v>
      </x:c>
      <x:c r="V9" s="20" t="str">
        <x:v>2026-07-28</x:v>
      </x:c>
      <x:c r="W9" s="20" t="str">
        <x:v>引流钩子</x:v>
      </x:c>
      <x:c r="X9" s="23" t="n">
        <x:v>5</x:v>
      </x:c>
      <x:c r="Y9" s="23" t="n">
        <x:v>5</x:v>
      </x:c>
      <x:c r="Z9" s="23" t="n">
        <x:v>4</x:v>
      </x:c>
      <x:c r="AA9" s="20" t="str">
        <x:v>A 必须</x:v>
      </x:c>
      <x:c r="AB9" s="20" t="str">
        <x:v>独立主题</x:v>
      </x:c>
      <x:c r="AC9" s="20" t="str">
        <x:v>赛博摄影|首次经典</x:v>
      </x:c>
      <x:c r="AD9" s="20" t="str">
        <x:v>精简|标准|深度</x:v>
      </x:c>
      <x:c r="AE9" s="20" t="str">
        <x:v>城市门户与两江关系</x:v>
      </x:c>
      <x:c r="AF9" s="20" t="str">
        <x:v>城市门户与两江关系。朝天门不是购物中心；它是城门、码头与通江达海的门户</x:v>
      </x:c>
      <x:c r="AG9" s="20" t="str">
        <x:v>江岸施工、活动管制、暴晒</x:v>
      </x:c>
      <x:c r="AH9" s="23" t="n">
        <x:f>ROUND(I9*'参数字典'!$B$16+J9*'参数字典'!$B$17+X9*20*'参数字典'!$B$18+Y9*20*'参数字典'!$B$19+Z9*20*'参数字典'!$B$20,0)</x:f>
        <x:v>94</x:v>
      </x:c>
    </x:row>
    <x:row r="10" ht="56" customHeight="1">
      <x:c r="A10" s="20" t="str">
        <x:v>CQ005</x:v>
      </x:c>
      <x:c r="B10" s="20" t="str">
        <x:v>洪崖洞外观与层级</x:v>
      </x:c>
      <x:c r="C10" s="20" t="str">
        <x:v>渝中</x:v>
      </x:c>
      <x:c r="D10" s="20" t="str">
        <x:v>D1立体城市</x:v>
      </x:c>
      <x:c r="E10" s="20" t="str">
        <x:v>夜景/更新</x:v>
      </x:c>
      <x:c r="F10" s="20" t="str">
        <x:v>必去核心</x:v>
      </x:c>
      <x:c r="G10" s="20" t="str">
        <x:v>视觉钩子但内部限时</x:v>
      </x:c>
      <x:c r="H10" s="20" t="str">
        <x:v>首次来渝/摄影</x:v>
      </x:c>
      <x:c r="I10" s="23" t="n">
        <x:v>80</x:v>
      </x:c>
      <x:c r="J10" s="23" t="n">
        <x:v>73</x:v>
      </x:c>
      <x:c r="K10" s="20" t="str">
        <x:v>B</x:v>
      </x:c>
      <x:c r="L10" s="23" t="n">
        <x:v>45</x:v>
      </x:c>
      <x:c r="M10" s="20" t="str">
        <x:v>亮灯后</x:v>
      </x:c>
      <x:c r="N10" s="20" t="str">
        <x:v>步行至千厮门/大剧院对岸</x:v>
      </x:c>
      <x:c r="O10" s="20" t="str">
        <x:v>人流与出口；内部商业同质</x:v>
      </x:c>
      <x:c r="P10" s="20" t="str">
        <x:v>大雨删除或隔江看</x:v>
      </x:c>
      <x:c r="Q10" s="20" t="str">
        <x:v>节假日封路、内部拥挤</x:v>
      </x:c>
      <x:c r="R10" s="20" t="str">
        <x:v>把历史吊脚楼意象、2000年代重建和城市品牌分开讲</x:v>
      </x:c>
      <x:c r="S10" s="20" t="str">
        <x:v>比较内部商业体验与外部整体视角</x:v>
      </x:c>
      <x:c r="T10" s="20" t="str">
        <x:v>https://doi.org/10.17645/up.v7i4.5810</x:v>
      </x:c>
      <x:c r="U10" s="20" t="str">
        <x:v>https://eprints.whiterose.ac.uk/id/eprint/185301/</x:v>
      </x:c>
      <x:c r="V10" s="20" t="str">
        <x:v>2026-07-28</x:v>
      </x:c>
      <x:c r="W10" s="20" t="str">
        <x:v>引流钩子</x:v>
      </x:c>
      <x:c r="X10" s="23" t="n">
        <x:v>5</x:v>
      </x:c>
      <x:c r="Y10" s="23" t="n">
        <x:v>4</x:v>
      </x:c>
      <x:c r="Z10" s="23" t="n">
        <x:v>2</x:v>
      </x:c>
      <x:c r="AA10" s="20" t="str">
        <x:v>B 按兴趣</x:v>
      </x:c>
      <x:c r="AB10" s="20" t="str">
        <x:v>夜景/观景</x:v>
      </x:c>
      <x:c r="AC10" s="20" t="str">
        <x:v>赛博摄影|文化历史|首次经典</x:v>
      </x:c>
      <x:c r="AD10" s="20" t="str">
        <x:v>标准|深度</x:v>
      </x:c>
      <x:c r="AE10" s="20" t="str">
        <x:v>视觉钩子但内部限时</x:v>
      </x:c>
      <x:c r="AF10" s="20" t="str">
        <x:v>视觉钩子但内部限时。把历史吊脚楼意象、2000年代重建和城市品牌分开讲</x:v>
      </x:c>
      <x:c r="AG10" s="20" t="str">
        <x:v>只输出外观与层级；内部限时30—45分钟</x:v>
      </x:c>
      <x:c r="AH10" s="23" t="n">
        <x:f>ROUND(I10*'参数字典'!$B$16+J10*'参数字典'!$B$17+X10*20*'参数字典'!$B$18+Y10*20*'参数字典'!$B$19+Z10*20*'参数字典'!$B$20,0)</x:f>
        <x:v>77</x:v>
      </x:c>
    </x:row>
    <x:row r="11" ht="56" customHeight="1">
      <x:c r="A11" s="20" t="str">
        <x:v>CQ006</x:v>
      </x:c>
      <x:c r="B11" s="20" t="str">
        <x:v>千厮门大桥—大剧院江岸视角</x:v>
      </x:c>
      <x:c r="C11" s="20" t="str">
        <x:v>江北</x:v>
      </x:c>
      <x:c r="D11" s="20" t="str">
        <x:v>D1立体城市</x:v>
      </x:c>
      <x:c r="E11" s="20" t="str">
        <x:v>桥梁/夜景</x:v>
      </x:c>
      <x:c r="F11" s="20" t="str">
        <x:v>必去核心</x:v>
      </x:c>
      <x:c r="G11" s="20" t="str">
        <x:v>主城夜景的外部读图位</x:v>
      </x:c>
      <x:c r="H11" s="20" t="str">
        <x:v>摄影/建筑/首次来渝</x:v>
      </x:c>
      <x:c r="I11" s="23" t="n">
        <x:v>91</x:v>
      </x:c>
      <x:c r="J11" s="23" t="n">
        <x:v>81</x:v>
      </x:c>
      <x:c r="K11" s="20" t="str">
        <x:v>B</x:v>
      </x:c>
      <x:c r="L11" s="23" t="n">
        <x:v>75</x:v>
      </x:c>
      <x:c r="M11" s="20" t="str">
        <x:v>蓝调至夜间</x:v>
      </x:c>
      <x:c r="N11" s="20" t="str">
        <x:v>大剧院站/步行</x:v>
      </x:c>
      <x:c r="O11" s="20" t="str">
        <x:v>桥面风大；活动时封控</x:v>
      </x:c>
      <x:c r="P11" s="20" t="str">
        <x:v>雨天在大剧院周边有顶空间</x:v>
      </x:c>
      <x:c r="Q11" s="20" t="str">
        <x:v>桥面管制、无人机表演大客流</x:v>
      </x:c>
      <x:c r="R11" s="20" t="str">
        <x:v>不挤进洪崖洞，用桥、崖、江和楼群解释整体空间</x:v>
      </x:c>
      <x:c r="S11" s="20" t="str">
        <x:v>从对岸指出洪崖洞、解放碑高地和朝天门</x:v>
      </x:c>
      <x:c r="T11" s="20" t="str">
        <x:v>https://www.cq.gov.cn/zwgk/zfxxgkml/zdlyxxgk/ggwh/ly/zxdt/202511/t20251107_15146900.html</x:v>
      </x:c>
      <x:c r="U11" s="20" t="str">
        <x:v>https://www.cq.gov.cn/ywdt/jrcq/202605/t20260531_15716501_app.html</x:v>
      </x:c>
      <x:c r="V11" s="20" t="str">
        <x:v>2026-07-28</x:v>
      </x:c>
      <x:c r="W11" s="20" t="str">
        <x:v>引流钩子</x:v>
      </x:c>
      <x:c r="X11" s="23" t="n">
        <x:v>5</x:v>
      </x:c>
      <x:c r="Y11" s="23" t="n">
        <x:v>5</x:v>
      </x:c>
      <x:c r="Z11" s="23" t="n">
        <x:v>4</x:v>
      </x:c>
      <x:c r="AA11" s="20" t="str">
        <x:v>A 必须</x:v>
      </x:c>
      <x:c r="AB11" s="20" t="str">
        <x:v>夜景/观景</x:v>
      </x:c>
      <x:c r="AC11" s="20" t="str">
        <x:v>赛博摄影|首次经典</x:v>
      </x:c>
      <x:c r="AD11" s="20" t="str">
        <x:v>精简|标准|深度</x:v>
      </x:c>
      <x:c r="AE11" s="20" t="str">
        <x:v>主城夜景的外部读图位</x:v>
      </x:c>
      <x:c r="AF11" s="20" t="str">
        <x:v>主城夜景的外部读图位。不挤进洪崖洞，用桥、崖、江和楼群解释整体空间</x:v>
      </x:c>
      <x:c r="AG11" s="20" t="str">
        <x:v>桥面管制、无人机表演大客流</x:v>
      </x:c>
      <x:c r="AH11" s="23" t="n">
        <x:f>ROUND(I11*'参数字典'!$B$16+J11*'参数字典'!$B$17+X11*20*'参数字典'!$B$18+Y11*20*'参数字典'!$B$19+Z11*20*'参数字典'!$B$20,0)</x:f>
        <x:v>92</x:v>
      </x:c>
    </x:row>
    <x:row r="12" ht="56" customHeight="1">
      <x:c r="A12" s="20" t="str">
        <x:v>CQ007</x:v>
      </x:c>
      <x:c r="B12" s="20" t="str">
        <x:v>“新韵重庆”无人机灯光秀</x:v>
      </x:c>
      <x:c r="C12" s="20" t="str">
        <x:v>两江四岸</x:v>
      </x:c>
      <x:c r="D12" s="20" t="str">
        <x:v>D1立体城市</x:v>
      </x:c>
      <x:c r="E12" s="20" t="str">
        <x:v>城市演出</x:v>
      </x:c>
      <x:c r="F12" s="20" t="str">
        <x:v>条件推荐</x:v>
      </x:c>
      <x:c r="G12" s="20" t="str">
        <x:v>周六/节假日现代城市模块</x:v>
      </x:c>
      <x:c r="H12" s="20" t="str">
        <x:v>亲子/摄影/首次来渝</x:v>
      </x:c>
      <x:c r="I12" s="23" t="n">
        <x:v>80</x:v>
      </x:c>
      <x:c r="J12" s="23" t="n">
        <x:v>85</x:v>
      </x:c>
      <x:c r="K12" s="20" t="str">
        <x:v>A</x:v>
      </x:c>
      <x:c r="L12" s="23" t="n">
        <x:v>40</x:v>
      </x:c>
      <x:c r="M12" s="20" t="str">
        <x:v>官方当月公告</x:v>
      </x:c>
      <x:c r="N12" s="20" t="str">
        <x:v>朝天门/江北嘴/南滨路</x:v>
      </x:c>
      <x:c r="O12" s="20" t="str">
        <x:v>无需语言但需疏散提示</x:v>
      </x:c>
      <x:c r="P12" s="20" t="str">
        <x:v>天气取消则普通夜景</x:v>
      </x:c>
      <x:c r="Q12" s="20" t="str">
        <x:v>临时取消、交通管制、拥挤</x:v>
      </x:c>
      <x:c r="R12" s="20" t="str">
        <x:v>把它作为当代城市品牌和治理能力，不当作历史文化</x:v>
      </x:c>
      <x:c r="S12" s="20" t="str">
        <x:v>比较不同岸线的视角、风向和人流组织</x:v>
      </x:c>
      <x:c r="T12" s="20" t="str">
        <x:v>https://www.cq.gov.cn/ywdt/jrcq/202605/t20260531_15716501_app.html</x:v>
      </x:c>
      <x:c r="U12" s="20" t="str">
        <x:v>https://eprints.whiterose.ac.uk/id/eprint/185301/</x:v>
      </x:c>
      <x:c r="V12" s="20" t="str">
        <x:v>2026-07-28</x:v>
      </x:c>
      <x:c r="W12" s="20" t="str">
        <x:v>引流钩子/付费体验</x:v>
      </x:c>
      <x:c r="X12" s="23" t="n">
        <x:v>5</x:v>
      </x:c>
      <x:c r="Y12" s="23" t="n">
        <x:v>2</x:v>
      </x:c>
      <x:c r="Z12" s="23" t="n">
        <x:v>2</x:v>
      </x:c>
      <x:c r="AA12" s="20" t="str">
        <x:v>B 按兴趣</x:v>
      </x:c>
      <x:c r="AB12" s="20" t="str">
        <x:v>夜景/观景</x:v>
      </x:c>
      <x:c r="AC12" s="20" t="str">
        <x:v>赛博摄影|文化历史|亲子轻松|首次经典</x:v>
      </x:c>
      <x:c r="AD12" s="20" t="str">
        <x:v>标准|深度</x:v>
      </x:c>
      <x:c r="AE12" s="20" t="str">
        <x:v>周六/节假日现代城市模块</x:v>
      </x:c>
      <x:c r="AF12" s="20" t="str">
        <x:v>周六/节假日现代城市模块。把它作为当代城市品牌和治理能力，不当作历史文化</x:v>
      </x:c>
      <x:c r="AG12" s="20" t="str">
        <x:v>无官方当日排期即删除</x:v>
      </x:c>
      <x:c r="AH12" s="23" t="n">
        <x:f>ROUND(I12*'参数字典'!$B$16+J12*'参数字典'!$B$17+X12*20*'参数字典'!$B$18+Y12*20*'参数字典'!$B$19+Z12*20*'参数字典'!$B$20,0)</x:f>
        <x:v>67</x:v>
      </x:c>
    </x:row>
    <x:row r="13" ht="56" customHeight="1">
      <x:c r="A13" s="20" t="str">
        <x:v>CQ008</x:v>
      </x:c>
      <x:c r="B13" s="20" t="str">
        <x:v>重庆湖广会馆</x:v>
      </x:c>
      <x:c r="C13" s="20" t="str">
        <x:v>渝中</x:v>
      </x:c>
      <x:c r="D13" s="20" t="str">
        <x:v>D2母城城门</x:v>
      </x:c>
      <x:c r="E13" s="20" t="str">
        <x:v>会馆/移民史</x:v>
      </x:c>
      <x:c r="F13" s="20" t="str">
        <x:v>必去核心</x:v>
      </x:c>
      <x:c r="G13" s="20" t="str">
        <x:v>人口迁徙与城市商业的入口</x:v>
      </x:c>
      <x:c r="H13" s="20" t="str">
        <x:v>文化/建筑/亲子</x:v>
      </x:c>
      <x:c r="I13" s="23" t="n">
        <x:v>90</x:v>
      </x:c>
      <x:c r="J13" s="23" t="n">
        <x:v>81</x:v>
      </x:c>
      <x:c r="K13" s="20" t="str">
        <x:v>B</x:v>
      </x:c>
      <x:c r="L13" s="23" t="n">
        <x:v>90</x:v>
      </x:c>
      <x:c r="M13" s="20" t="str">
        <x:v>开馆即入</x:v>
      </x:c>
      <x:c r="N13" s="20" t="str">
        <x:v>小什字8号口+东水门电梯</x:v>
      </x:c>
      <x:c r="O13" s="20" t="str">
        <x:v>护照购票、英文讲解覆盖待核验</x:v>
      </x:c>
      <x:c r="P13" s="20" t="str">
        <x:v>雨天核心</x:v>
      </x:c>
      <x:c r="Q13" s="20" t="str">
        <x:v>节假日演出/人流</x:v>
      </x:c>
      <x:c r="R13" s="20" t="str">
        <x:v>不是古建筑打卡；讲会馆如何提供同乡互助、商业和信仰网络</x:v>
      </x:c>
      <x:c r="S13" s="20" t="str">
        <x:v>找不同会所、戏台和木雕题材的功能差异</x:v>
      </x:c>
      <x:c r="T13" s="20" t="str">
        <x:v>https://whlyw.cq.gov.cn/zjwl/yzq/cqwlzy/zqwwzy/202405/t20240507_13182428.html</x:v>
      </x:c>
      <x:c r="U13" s="20" t="str">
        <x:v>https://whlyw.cq.gov.cn/hdjl_221/xzzq/202601/t20260115_15320860.html</x:v>
      </x:c>
      <x:c r="V13" s="20" t="str">
        <x:v>2026-07-28</x:v>
      </x:c>
      <x:c r="W13" s="20" t="str">
        <x:v>核心解释/付费体验</x:v>
      </x:c>
      <x:c r="X13" s="23" t="n">
        <x:v>3</x:v>
      </x:c>
      <x:c r="Y13" s="23" t="n">
        <x:v>5</x:v>
      </x:c>
      <x:c r="Z13" s="23" t="n">
        <x:v>5</x:v>
      </x:c>
      <x:c r="AA13" s="20" t="str">
        <x:v>A 必须</x:v>
      </x:c>
      <x:c r="AB13" s="20" t="str">
        <x:v>独立主题</x:v>
      </x:c>
      <x:c r="AC13" s="20" t="str">
        <x:v>文化历史|亲子轻松|首次经典</x:v>
      </x:c>
      <x:c r="AD13" s="20" t="str">
        <x:v>精简|标准|深度</x:v>
      </x:c>
      <x:c r="AE13" s="20" t="str">
        <x:v>人口迁徙与城市商业的入口</x:v>
      </x:c>
      <x:c r="AF13" s="20" t="str">
        <x:v>人口迁徙与城市商业的入口。不是古建筑打卡；讲会馆如何提供同乡互助、商业和信仰网络</x:v>
      </x:c>
      <x:c r="AG13" s="20" t="str">
        <x:v>节假日演出/人流</x:v>
      </x:c>
      <x:c r="AH13" s="23" t="n">
        <x:f>ROUND(I13*'参数字典'!$B$16+J13*'参数字典'!$B$17+X13*20*'参数字典'!$B$18+Y13*20*'参数字典'!$B$19+Z13*20*'参数字典'!$B$20,0)</x:f>
        <x:v>87</x:v>
      </x:c>
    </x:row>
    <x:row r="14" ht="56" customHeight="1">
      <x:c r="A14" s="20" t="str">
        <x:v>CQ009</x:v>
      </x:c>
      <x:c r="B14" s="20" t="str">
        <x:v>东水门城门城墙</x:v>
      </x:c>
      <x:c r="C14" s="20" t="str">
        <x:v>渝中</x:v>
      </x:c>
      <x:c r="D14" s="20" t="str">
        <x:v>D2母城城门</x:v>
      </x:c>
      <x:c r="E14" s="20" t="str">
        <x:v>城墙遗址</x:v>
      </x:c>
      <x:c r="F14" s="20" t="str">
        <x:v>必去核心</x:v>
      </x:c>
      <x:c r="G14" s="20" t="str">
        <x:v>从水路进入母城的真实遗存</x:v>
      </x:c>
      <x:c r="H14" s="20" t="str">
        <x:v>历史/建筑/步行</x:v>
      </x:c>
      <x:c r="I14" s="23" t="n">
        <x:v>94</x:v>
      </x:c>
      <x:c r="J14" s="23" t="n">
        <x:v>81</x:v>
      </x:c>
      <x:c r="K14" s="20" t="str">
        <x:v>B</x:v>
      </x:c>
      <x:c r="L14" s="23" t="n">
        <x:v>30</x:v>
      </x:c>
      <x:c r="M14" s="20" t="str">
        <x:v>湖广会馆前后</x:v>
      </x:c>
      <x:c r="N14" s="20" t="str">
        <x:v>湖广会馆旁步行</x:v>
      </x:c>
      <x:c r="O14" s="20" t="str">
        <x:v>标识英文覆盖待核验</x:v>
      </x:c>
      <x:c r="P14" s="20" t="str">
        <x:v>小雨可</x:v>
      </x:c>
      <x:c r="Q14" s="20" t="str">
        <x:v>坡坎、石面湿滑</x:v>
      </x:c>
      <x:c r="R14" s="20" t="str">
        <x:v>把城墙从抽象故事变成地形防御：山、江、门一体</x:v>
      </x:c>
      <x:c r="S14" s="20" t="str">
        <x:v>观察城门内外高差和城墙如何贴着山体</x:v>
      </x:c>
      <x:c r="T14" s="20" t="str">
        <x:v>https://whlyw.cq.gov.cn/zjwl/yzq/cqwlzy/zqwwzy/202405/t20240507_13182468.html</x:v>
      </x:c>
      <x:c r="U14" s="20" t="str">
        <x:v>https://www.cqyz.gov.cn/zjyz/lyyz/rmdkd/202202/t20220215_10397616.html</x:v>
      </x:c>
      <x:c r="V14" s="20" t="str">
        <x:v>2026-07-28</x:v>
      </x:c>
      <x:c r="W14" s="20" t="str">
        <x:v>核心解释</x:v>
      </x:c>
      <x:c r="X14" s="23" t="n">
        <x:v>3</x:v>
      </x:c>
      <x:c r="Y14" s="23" t="n">
        <x:v>4</x:v>
      </x:c>
      <x:c r="Z14" s="23" t="n">
        <x:v>2</x:v>
      </x:c>
      <x:c r="AA14" s="20" t="str">
        <x:v>B 按兴趣</x:v>
      </x:c>
      <x:c r="AB14" s="20" t="str">
        <x:v>独立主题</x:v>
      </x:c>
      <x:c r="AC14" s="20" t="str">
        <x:v>文化历史|首次经典</x:v>
      </x:c>
      <x:c r="AD14" s="20" t="str">
        <x:v>标准|深度</x:v>
      </x:c>
      <x:c r="AE14" s="20" t="str">
        <x:v>从水路进入母城的真实遗存</x:v>
      </x:c>
      <x:c r="AF14" s="20" t="str">
        <x:v>从水路进入母城的真实遗存。把城墙从抽象故事变成地形防御：山、江、门一体</x:v>
      </x:c>
      <x:c r="AG14" s="20" t="str">
        <x:v>坡坎、石面湿滑</x:v>
      </x:c>
      <x:c r="AH14" s="23" t="n">
        <x:f>ROUND(I14*'参数字典'!$B$16+J14*'参数字典'!$B$17+X14*20*'参数字典'!$B$18+Y14*20*'参数字典'!$B$19+Z14*20*'参数字典'!$B$20,0)</x:f>
        <x:v>73</x:v>
      </x:c>
    </x:row>
    <x:row r="15" ht="56" customHeight="1">
      <x:c r="A15" s="20" t="str">
        <x:v>CQ010</x:v>
      </x:c>
      <x:c r="B15" s="20" t="str">
        <x:v>白象街历史文化街区</x:v>
      </x:c>
      <x:c r="C15" s="20" t="str">
        <x:v>渝中</x:v>
      </x:c>
      <x:c r="D15" s="20" t="str">
        <x:v>D2母城城门</x:v>
      </x:c>
      <x:c r="E15" s="20" t="str">
        <x:v>开埠/金融街区</x:v>
      </x:c>
      <x:c r="F15" s="20" t="str">
        <x:v>深度推荐</x:v>
      </x:c>
      <x:c r="G15" s="20" t="str">
        <x:v>下半城商业与开埠史连接</x:v>
      </x:c>
      <x:c r="H15" s="20" t="str">
        <x:v>城市史/建筑</x:v>
      </x:c>
      <x:c r="I15" s="23" t="n">
        <x:v>84</x:v>
      </x:c>
      <x:c r="J15" s="23" t="n">
        <x:v>76</x:v>
      </x:c>
      <x:c r="K15" s="20" t="str">
        <x:v>B</x:v>
      </x:c>
      <x:c r="L15" s="23" t="n">
        <x:v>60</x:v>
      </x:c>
      <x:c r="M15" s="20" t="str">
        <x:v>午前/午后</x:v>
      </x:c>
      <x:c r="N15" s="20" t="str">
        <x:v>东水门步行</x:v>
      </x:c>
      <x:c r="O15" s="20" t="str">
        <x:v>新旧建筑边界容易混淆</x:v>
      </x:c>
      <x:c r="P15" s="20" t="str">
        <x:v>雨天缩短</x:v>
      </x:c>
      <x:c r="Q15" s="20" t="str">
        <x:v>商业更新、活动封控</x:v>
      </x:c>
      <x:c r="R15" s="20" t="str">
        <x:v>用邮政、金融和下半城商业解释通江贸易</x:v>
      </x:c>
      <x:c r="S15" s="20" t="str">
        <x:v>辨认历史建筑与仿古/新建部分</x:v>
      </x:c>
      <x:c r="T15" s="20" t="str">
        <x:v>https://ghzrzyj.cq.gov.cn/bsfw_186/dtfw/mzyt/202511/t20251124_15184222_wap.html</x:v>
      </x:c>
      <x:c r="U15" s="20" t="str">
        <x:v>https://ghzrzyj.cq.gov.cn/ztlm_186/ghgb/zxgh/202507/P020250716371670706300.pdf</x:v>
      </x:c>
      <x:c r="V15" s="20" t="str">
        <x:v>2026-07-28</x:v>
      </x:c>
      <x:c r="W15" s="20" t="str">
        <x:v>核心解释</x:v>
      </x:c>
      <x:c r="X15" s="23" t="n">
        <x:v>3</x:v>
      </x:c>
      <x:c r="Y15" s="23" t="n">
        <x:v>4</x:v>
      </x:c>
      <x:c r="Z15" s="23" t="n">
        <x:v>2</x:v>
      </x:c>
      <x:c r="AA15" s="20" t="str">
        <x:v>B 按兴趣</x:v>
      </x:c>
      <x:c r="AB15" s="20" t="str">
        <x:v>更新街区/老街</x:v>
      </x:c>
      <x:c r="AC15" s="20" t="str">
        <x:v>文化历史|首次经典</x:v>
      </x:c>
      <x:c r="AD15" s="20" t="str">
        <x:v>标准|深度</x:v>
      </x:c>
      <x:c r="AE15" s="20" t="str">
        <x:v>下半城商业与开埠史连接</x:v>
      </x:c>
      <x:c r="AF15" s="20" t="str">
        <x:v>下半城商业与开埠史连接。用邮政、金融和下半城商业解释通江贸易</x:v>
      </x:c>
      <x:c r="AG15" s="20" t="str">
        <x:v>商业更新、活动封控</x:v>
      </x:c>
      <x:c r="AH15" s="23" t="n">
        <x:f>ROUND(I15*'参数字典'!$B$16+J15*'参数字典'!$B$17+X15*20*'参数字典'!$B$18+Y15*20*'参数字典'!$B$19+Z15*20*'参数字典'!$B$20,0)</x:f>
        <x:v>70</x:v>
      </x:c>
    </x:row>
    <x:row r="16" ht="56" customHeight="1">
      <x:c r="A16" s="20" t="str">
        <x:v>CQ011</x:v>
      </x:c>
      <x:c r="B16" s="20" t="str">
        <x:v>白象居外围与公共通道</x:v>
      </x:c>
      <x:c r="C16" s="20" t="str">
        <x:v>渝中</x:v>
      </x:c>
      <x:c r="D16" s="20" t="str">
        <x:v>D2母城城门</x:v>
      </x:c>
      <x:c r="E16" s="20" t="str">
        <x:v>住宅/垂直空间</x:v>
      </x:c>
      <x:c r="F16" s="20" t="str">
        <x:v>条件推荐</x:v>
      </x:c>
      <x:c r="G16" s="20" t="str">
        <x:v>住宅与城市交通叠加案例</x:v>
      </x:c>
      <x:c r="H16" s="20" t="str">
        <x:v>建筑/摄影/背包客</x:v>
      </x:c>
      <x:c r="I16" s="23" t="n">
        <x:v>78</x:v>
      </x:c>
      <x:c r="J16" s="23" t="n">
        <x:v>51</x:v>
      </x:c>
      <x:c r="K16" s="20" t="str">
        <x:v>C</x:v>
      </x:c>
      <x:c r="L16" s="23" t="n">
        <x:v>35</x:v>
      </x:c>
      <x:c r="M16" s="20" t="str">
        <x:v>工作日白天</x:v>
      </x:c>
      <x:c r="N16" s="20" t="str">
        <x:v>白象街步行</x:v>
      </x:c>
      <x:c r="O16" s="20" t="str">
        <x:v>居民隐私、消防通道、无英文服务</x:v>
      </x:c>
      <x:c r="P16" s="20" t="str">
        <x:v>雨天不建议</x:v>
      </x:c>
      <x:c r="Q16" s="20" t="str">
        <x:v>扰民、封闭、错误机位</x:v>
      </x:c>
      <x:c r="R16" s="20" t="str">
        <x:v>价值在住宅如何成为城市连接，不是进入居民私域拍照</x:v>
      </x:c>
      <x:c r="S16" s="20" t="str">
        <x:v>只走公共通道；记录哪些空间对居民是日常而非景点</x:v>
      </x:c>
      <x:c r="T16" s="20" t="str">
        <x:v>https://eprints.whiterose.ac.uk/id/eprint/185301/</x:v>
      </x:c>
      <x:c r="U16" s="20" t="str">
        <x:v>https://www.reddit.com/r/travelchina/comments/1v4olqp/thoughts_on_my_chongqing_itinerary/</x:v>
      </x:c>
      <x:c r="V16" s="20" t="str">
        <x:v>2026-07-28</x:v>
      </x:c>
      <x:c r="W16" s="20" t="str">
        <x:v>真实生活</x:v>
      </x:c>
      <x:c r="X16" s="23" t="n">
        <x:v>2</x:v>
      </x:c>
      <x:c r="Y16" s="23" t="n">
        <x:v>2</x:v>
      </x:c>
      <x:c r="Z16" s="23" t="n">
        <x:v>2</x:v>
      </x:c>
      <x:c r="AA16" s="20" t="str">
        <x:v>C 深度补充</x:v>
      </x:c>
      <x:c r="AB16" s="20" t="str">
        <x:v>社区/生活</x:v>
      </x:c>
      <x:c r="AC16" s="20" t="str">
        <x:v>赛博摄影|美食生活|复游客|首次经典</x:v>
      </x:c>
      <x:c r="AD16" s="20" t="str">
        <x:v>深度</x:v>
      </x:c>
      <x:c r="AE16" s="20" t="str">
        <x:v>住宅与城市交通叠加案例</x:v>
      </x:c>
      <x:c r="AF16" s="20" t="str">
        <x:v>住宅与城市交通叠加案例。价值在住宅如何成为城市连接，不是进入居民私域拍照</x:v>
      </x:c>
      <x:c r="AG16" s="20" t="str">
        <x:v>无法确认公共边界即删除</x:v>
      </x:c>
      <x:c r="AH16" s="23" t="n">
        <x:f>ROUND(I16*'参数字典'!$B$16+J16*'参数字典'!$B$17+X16*20*'参数字典'!$B$18+Y16*20*'参数字典'!$B$19+Z16*20*'参数字典'!$B$20,0)</x:f>
        <x:v>49</x:v>
      </x:c>
    </x:row>
    <x:row r="17" ht="56" customHeight="1">
      <x:c r="A17" s="20" t="str">
        <x:v>CQ012</x:v>
      </x:c>
      <x:c r="B17" s="20" t="str">
        <x:v>通远门古城墙</x:v>
      </x:c>
      <x:c r="C17" s="20" t="str">
        <x:v>渝中</x:v>
      </x:c>
      <x:c r="D17" s="20" t="str">
        <x:v>D2母城城门</x:v>
      </x:c>
      <x:c r="E17" s="20" t="str">
        <x:v>城墙遗址</x:v>
      </x:c>
      <x:c r="F17" s="20" t="str">
        <x:v>必去核心</x:v>
      </x:c>
      <x:c r="G17" s="20" t="str">
        <x:v>陆路入口与母城边界</x:v>
      </x:c>
      <x:c r="H17" s="20" t="str">
        <x:v>历史/步行/建筑</x:v>
      </x:c>
      <x:c r="I17" s="23" t="n">
        <x:v>94</x:v>
      </x:c>
      <x:c r="J17" s="23" t="n">
        <x:v>85</x:v>
      </x:c>
      <x:c r="K17" s="20" t="str">
        <x:v>A</x:v>
      </x:c>
      <x:c r="L17" s="23" t="n">
        <x:v>35</x:v>
      </x:c>
      <x:c r="M17" s="20" t="str">
        <x:v>下午山城步道前</x:v>
      </x:c>
      <x:c r="N17" s="20" t="str">
        <x:v>七星岗站步行</x:v>
      </x:c>
      <x:c r="O17" s="20" t="str">
        <x:v>英文解释不足</x:v>
      </x:c>
      <x:c r="P17" s="20" t="str">
        <x:v>小雨可</x:v>
      </x:c>
      <x:c r="Q17" s="20" t="str">
        <x:v>城墙石面湿滑</x:v>
      </x:c>
      <x:c r="R17" s="20" t="str">
        <x:v>十七城门中唯一不面水的开门，解释陆路防御与城市边界</x:v>
      </x:c>
      <x:c r="S17" s="20" t="str">
        <x:v>从城外深壑想象古代进入重庆的路径</x:v>
      </x:c>
      <x:c r="T17" s="20" t="str">
        <x:v>https://www.cqyz.gov.cn/zjyz/lyyz/rmdkd/202202/t20220215_10397616.html</x:v>
      </x:c>
      <x:c r="U17" s="20" t="str">
        <x:v>https://whlyw.cq.gov.cn/zjwl/yzq/cqwlzy/zqwwzy/202405/t20240507_13182468.html</x:v>
      </x:c>
      <x:c r="V17" s="20" t="str">
        <x:v>2026-07-28</x:v>
      </x:c>
      <x:c r="W17" s="20" t="str">
        <x:v>核心解释</x:v>
      </x:c>
      <x:c r="X17" s="23" t="n">
        <x:v>3</x:v>
      </x:c>
      <x:c r="Y17" s="23" t="n">
        <x:v>4</x:v>
      </x:c>
      <x:c r="Z17" s="23" t="n">
        <x:v>2</x:v>
      </x:c>
      <x:c r="AA17" s="20" t="str">
        <x:v>B 按兴趣</x:v>
      </x:c>
      <x:c r="AB17" s="20" t="str">
        <x:v>独立主题</x:v>
      </x:c>
      <x:c r="AC17" s="20" t="str">
        <x:v>文化历史|首次经典</x:v>
      </x:c>
      <x:c r="AD17" s="20" t="str">
        <x:v>标准|深度</x:v>
      </x:c>
      <x:c r="AE17" s="20" t="str">
        <x:v>陆路入口与母城边界</x:v>
      </x:c>
      <x:c r="AF17" s="20" t="str">
        <x:v>陆路入口与母城边界。十七城门中唯一不面水的开门，解释陆路防御与城市边界</x:v>
      </x:c>
      <x:c r="AG17" s="20" t="str">
        <x:v>城墙石面湿滑</x:v>
      </x:c>
      <x:c r="AH17" s="23" t="n">
        <x:f>ROUND(I17*'参数字典'!$B$16+J17*'参数字典'!$B$17+X17*20*'参数字典'!$B$18+Y17*20*'参数字典'!$B$19+Z17*20*'参数字典'!$B$20,0)</x:f>
        <x:v>74</x:v>
      </x:c>
    </x:row>
    <x:row r="18" ht="56" customHeight="1">
      <x:c r="A18" s="20" t="str">
        <x:v>CQ013</x:v>
      </x:c>
      <x:c r="B18" s="20" t="str">
        <x:v>第三山城步道—山城巷段</x:v>
      </x:c>
      <x:c r="C18" s="20" t="str">
        <x:v>渝中</x:v>
      </x:c>
      <x:c r="D18" s="20" t="str">
        <x:v>D2母城城门</x:v>
      </x:c>
      <x:c r="E18" s="20" t="str">
        <x:v>山地步行系统</x:v>
      </x:c>
      <x:c r="F18" s="20" t="str">
        <x:v>必去核心</x:v>
      </x:c>
      <x:c r="G18" s="20" t="str">
        <x:v>用脚理解重庆，而非打卡街区</x:v>
      </x:c>
      <x:c r="H18" s="20" t="str">
        <x:v>背包客/建筑/城市观察</x:v>
      </x:c>
      <x:c r="I18" s="23" t="n">
        <x:v>86</x:v>
      </x:c>
      <x:c r="J18" s="23" t="n">
        <x:v>81</x:v>
      </x:c>
      <x:c r="K18" s="20" t="str">
        <x:v>B</x:v>
      </x:c>
      <x:c r="L18" s="23" t="n">
        <x:v>150</x:v>
      </x:c>
      <x:c r="M18" s="20" t="str">
        <x:v>下午自上而下</x:v>
      </x:c>
      <x:c r="N18" s="20" t="str">
        <x:v>通远门/领事巷入，向长江下行</x:v>
      </x:c>
      <x:c r="O18" s="20" t="str">
        <x:v>导航、高差、台阶和出口</x:v>
      </x:c>
      <x:c r="P18" s="20" t="str">
        <x:v>低体力改三峡博物馆+短段</x:v>
      </x:c>
      <x:c r="Q18" s="20" t="str">
        <x:v>连续下坡、雨后湿滑、夏季暴晒</x:v>
      </x:c>
      <x:c r="R18" s="20" t="str">
        <x:v>步道是交通、社区客厅和历史遗存容器，不只是景观栈道</x:v>
      </x:c>
      <x:c r="S18" s="20" t="str">
        <x:v>记录街—巷—院、休息平台与居民使用方式</x:v>
      </x:c>
      <x:c r="T18" s="20" t="str">
        <x:v>https://www.shplanning.com.cn/archive/download/id/487.html</x:v>
      </x:c>
      <x:c r="U18" s="20" t="str">
        <x:v>https://doi.org/10.17645/up.v7i4.5810</x:v>
      </x:c>
      <x:c r="V18" s="20" t="str">
        <x:v>2026-07-28</x:v>
      </x:c>
      <x:c r="W18" s="20" t="str">
        <x:v>核心解释/付费体验</x:v>
      </x:c>
      <x:c r="X18" s="23" t="n">
        <x:v>4</x:v>
      </x:c>
      <x:c r="Y18" s="23" t="n">
        <x:v>5</x:v>
      </x:c>
      <x:c r="Z18" s="23" t="n">
        <x:v>5</x:v>
      </x:c>
      <x:c r="AA18" s="20" t="str">
        <x:v>A 必须</x:v>
      </x:c>
      <x:c r="AB18" s="20" t="str">
        <x:v>高体力步道</x:v>
      </x:c>
      <x:c r="AC18" s="20" t="str">
        <x:v>赛博摄影|文化历史|首次经典</x:v>
      </x:c>
      <x:c r="AD18" s="20" t="str">
        <x:v>精简|标准|深度</x:v>
      </x:c>
      <x:c r="AE18" s="20" t="str">
        <x:v>用脚理解重庆，而非打卡街区</x:v>
      </x:c>
      <x:c r="AF18" s="20" t="str">
        <x:v>用脚理解重庆，而非打卡街区。步道是交通、社区客厅和历史遗存容器，不只是景观栈道</x:v>
      </x:c>
      <x:c r="AG18" s="20" t="str">
        <x:v>雨天、低体力或未实测路线即删除</x:v>
      </x:c>
      <x:c r="AH18" s="23" t="n">
        <x:f>ROUND(I18*'参数字典'!$B$16+J18*'参数字典'!$B$17+X18*20*'参数字典'!$B$18+Y18*20*'参数字典'!$B$19+Z18*20*'参数字典'!$B$20,0)</x:f>
        <x:v>90</x:v>
      </x:c>
    </x:row>
    <x:row r="19" ht="56" customHeight="1">
      <x:c r="A19" s="20" t="str">
        <x:v>CQ014</x:v>
      </x:c>
      <x:c r="B19" s="20" t="str">
        <x:v>十八梯传统风貌区</x:v>
      </x:c>
      <x:c r="C19" s="20" t="str">
        <x:v>渝中</x:v>
      </x:c>
      <x:c r="D19" s="20" t="str">
        <x:v>D2母城城门</x:v>
      </x:c>
      <x:c r="E19" s="20" t="str">
        <x:v>更新街区</x:v>
      </x:c>
      <x:c r="F19" s="20" t="str">
        <x:v>只顺路</x:v>
      </x:c>
      <x:c r="G19" s="20" t="str">
        <x:v>连接上下半城并比较更新</x:v>
      </x:c>
      <x:c r="H19" s="20" t="str">
        <x:v>首次来渝/低研究门槛</x:v>
      </x:c>
      <x:c r="I19" s="23" t="n">
        <x:v>72</x:v>
      </x:c>
      <x:c r="J19" s="23" t="n">
        <x:v>85</x:v>
      </x:c>
      <x:c r="K19" s="20" t="str">
        <x:v>A</x:v>
      </x:c>
      <x:c r="L19" s="23" t="n">
        <x:v>30</x:v>
      </x:c>
      <x:c r="M19" s="20" t="str">
        <x:v>非高峰</x:v>
      </x:c>
      <x:c r="N19" s="20" t="str">
        <x:v>较场口步行</x:v>
      </x:c>
      <x:c r="O19" s="20" t="str">
        <x:v>节假日拥挤</x:v>
      </x:c>
      <x:c r="P19" s="20" t="str">
        <x:v>雨天可短停</x:v>
      </x:c>
      <x:c r="Q19" s="20" t="str">
        <x:v>商业同质、演出封路</x:v>
      </x:c>
      <x:c r="R19" s="20" t="str">
        <x:v>不把它当“保存完好的老重庆”；用它讨论城市更新和记忆再现</x:v>
      </x:c>
      <x:c r="S19" s="20" t="str">
        <x:v>比较原有通道功能、重建空间与当代消费</x:v>
      </x:c>
      <x:c r="T19" s="20" t="str">
        <x:v>https://ghzrzyj.cq.gov.cn/bsfw_186/dtfw/mzyt/202511/t20251124_15184222_wap.html</x:v>
      </x:c>
      <x:c r="U19" s="20" t="str">
        <x:v>https://eprints.whiterose.ac.uk/id/eprint/185301/</x:v>
      </x:c>
      <x:c r="V19" s="20" t="str">
        <x:v>2026-07-28</x:v>
      </x:c>
      <x:c r="W19" s="20" t="str">
        <x:v>真实生活</x:v>
      </x:c>
      <x:c r="X19" s="23" t="n">
        <x:v>3</x:v>
      </x:c>
      <x:c r="Y19" s="23" t="n">
        <x:v>2</x:v>
      </x:c>
      <x:c r="Z19" s="23" t="n">
        <x:v>2</x:v>
      </x:c>
      <x:c r="AA19" s="20" t="str">
        <x:v>C 深度补充</x:v>
      </x:c>
      <x:c r="AB19" s="20" t="str">
        <x:v>更新街区/老街</x:v>
      </x:c>
      <x:c r="AC19" s="20" t="str">
        <x:v>美食生活|复游客|首次经典</x:v>
      </x:c>
      <x:c r="AD19" s="20" t="str">
        <x:v>深度</x:v>
      </x:c>
      <x:c r="AE19" s="20" t="str">
        <x:v>连接上下半城并比较更新</x:v>
      </x:c>
      <x:c r="AF19" s="20" t="str">
        <x:v>连接上下半城并比较更新。不把它当“保存完好的老重庆”；用它讨论城市更新和记忆再现</x:v>
      </x:c>
      <x:c r="AG19" s="20" t="str">
        <x:v>与其他商业街重复时优先删除</x:v>
      </x:c>
      <x:c r="AH19" s="23" t="n">
        <x:f>ROUND(I19*'参数字典'!$B$16+J19*'参数字典'!$B$17+X19*20*'参数字典'!$B$18+Y19*20*'参数字典'!$B$19+Z19*20*'参数字典'!$B$20,0)</x:f>
        <x:v>57</x:v>
      </x:c>
    </x:row>
    <x:row r="20" ht="56" customHeight="1">
      <x:c r="A20" s="20" t="str">
        <x:v>CQ015</x:v>
      </x:c>
      <x:c r="B20" s="20" t="str">
        <x:v>重庆大轰炸遗址陈列馆</x:v>
      </x:c>
      <x:c r="C20" s="20" t="str">
        <x:v>渝中</x:v>
      </x:c>
      <x:c r="D20" s="20" t="str">
        <x:v>D2母城城门</x:v>
      </x:c>
      <x:c r="E20" s="20" t="str">
        <x:v>战争记忆</x:v>
      </x:c>
      <x:c r="F20" s="20" t="str">
        <x:v>条件推荐</x:v>
      </x:c>
      <x:c r="G20" s="20" t="str">
        <x:v>重历史模块；不与娱乐强行混排</x:v>
      </x:c>
      <x:c r="H20" s="20" t="str">
        <x:v>历史/教育/成年游客</x:v>
      </x:c>
      <x:c r="I20" s="23" t="n">
        <x:v>86</x:v>
      </x:c>
      <x:c r="J20" s="23" t="n">
        <x:v>80</x:v>
      </x:c>
      <x:c r="K20" s="20" t="str">
        <x:v>B</x:v>
      </x:c>
      <x:c r="L20" s="23" t="n">
        <x:v>45</x:v>
      </x:c>
      <x:c r="M20" s="20" t="str">
        <x:v>10:00—17:30</x:v>
      </x:c>
      <x:c r="N20" s="20" t="str">
        <x:v>较场口站</x:v>
      </x:c>
      <x:c r="O20" s="20" t="str">
        <x:v>英文展陈和情绪承载待核验</x:v>
      </x:c>
      <x:c r="P20" s="20" t="str">
        <x:v>雨天核心</x:v>
      </x:c>
      <x:c r="Q20" s="20" t="str">
        <x:v>内容沉重；儿童适配</x:v>
      </x:c>
      <x:c r="R20" s="20" t="str">
        <x:v>从夜景奇观切回城市在战争中的平民经验</x:v>
      </x:c>
      <x:c r="S20" s="20" t="str">
        <x:v>进入前给内容预警；离开后安排安静恢复</x:v>
      </x:c>
      <x:c r="T20" s="20" t="str">
        <x:v>https://whlyw.cq.gov.cn/zwxx_221/bmdt/tzgg/202601/t20260115_15320690.html</x:v>
      </x:c>
      <x:c r="U20" s="20" t="str">
        <x:v>https://www.cq.gov.cn/ywdt/zwhd/qxdt/202009/t20200907_8628081.html</x:v>
      </x:c>
      <x:c r="V20" s="20" t="str">
        <x:v>2026-07-28</x:v>
      </x:c>
      <x:c r="W20" s="20" t="str">
        <x:v>核心解释</x:v>
      </x:c>
      <x:c r="X20" s="23" t="n">
        <x:v>2</x:v>
      </x:c>
      <x:c r="Y20" s="23" t="n">
        <x:v>2</x:v>
      </x:c>
      <x:c r="Z20" s="23" t="n">
        <x:v>2</x:v>
      </x:c>
      <x:c r="AA20" s="20" t="str">
        <x:v>C 深度补充</x:v>
      </x:c>
      <x:c r="AB20" s="20" t="str">
        <x:v>独立主题</x:v>
      </x:c>
      <x:c r="AC20" s="20" t="str">
        <x:v>赛博摄影|文化历史|首次经典</x:v>
      </x:c>
      <x:c r="AD20" s="20" t="str">
        <x:v>深度</x:v>
      </x:c>
      <x:c r="AE20" s="20" t="str">
        <x:v>重历史模块；不与娱乐强行混排</x:v>
      </x:c>
      <x:c r="AF20" s="20" t="str">
        <x:v>重历史模块；不与娱乐强行混排。从夜景奇观切回城市在战争中的平民经验</x:v>
      </x:c>
      <x:c r="AG20" s="20" t="str">
        <x:v>内容沉重；儿童适配</x:v>
      </x:c>
      <x:c r="AH20" s="23" t="n">
        <x:f>ROUND(I20*'参数字典'!$B$16+J20*'参数字典'!$B$17+X20*20*'参数字典'!$B$18+Y20*20*'参数字典'!$B$19+Z20*20*'参数字典'!$B$20,0)</x:f>
        <x:v>55</x:v>
      </x:c>
    </x:row>
    <x:row r="21" ht="56" customHeight="1">
      <x:c r="A21" s="20" t="str">
        <x:v>CQ016</x:v>
      </x:c>
      <x:c r="B21" s="20" t="str">
        <x:v>重庆金融历史博物馆</x:v>
      </x:c>
      <x:c r="C21" s="20" t="str">
        <x:v>渝中</x:v>
      </x:c>
      <x:c r="D21" s="20" t="str">
        <x:v>D2母城城门</x:v>
      </x:c>
      <x:c r="E21" s="20" t="str">
        <x:v>金融/建筑</x:v>
      </x:c>
      <x:c r="F21" s="20" t="str">
        <x:v>条件推荐</x:v>
      </x:c>
      <x:c r="G21" s="20" t="str">
        <x:v>开埠商业的室内补充</x:v>
      </x:c>
      <x:c r="H21" s="20" t="str">
        <x:v>金融/建筑/雨天</x:v>
      </x:c>
      <x:c r="I21" s="23" t="n">
        <x:v>80</x:v>
      </x:c>
      <x:c r="J21" s="23" t="n">
        <x:v>80</x:v>
      </x:c>
      <x:c r="K21" s="20" t="str">
        <x:v>B</x:v>
      </x:c>
      <x:c r="L21" s="23" t="n">
        <x:v>60</x:v>
      </x:c>
      <x:c r="M21" s="20" t="str">
        <x:v>避开12:00—13:30</x:v>
      </x:c>
      <x:c r="N21" s="20" t="str">
        <x:v>小什字步行</x:v>
      </x:c>
      <x:c r="O21" s="20" t="str">
        <x:v>英文展陈待核验</x:v>
      </x:c>
      <x:c r="P21" s="20" t="str">
        <x:v>雨天核心</x:v>
      </x:c>
      <x:c r="Q21" s="20" t="str">
        <x:v>周一闭馆、午间闭馆</x:v>
      </x:c>
      <x:c r="R21" s="20" t="str">
        <x:v>用银行建筑和金融机构解释重庆如何从码头城市进入现代商业</x:v>
      </x:c>
      <x:c r="S21" s="20" t="str">
        <x:v>观察金库、立面和街区位置的关系</x:v>
      </x:c>
      <x:c r="T21" s="20" t="str">
        <x:v>https://whlyw.cq.gov.cn/hdjl_221/xzzq/202601/t20260115_15320860.html</x:v>
      </x:c>
      <x:c r="U21" s="20" t="str">
        <x:v>https://ghzrzyj.cq.gov.cn/bsfw_186/dtfw/mzyt/202511/t20251124_15184222_wap.html</x:v>
      </x:c>
      <x:c r="V21" s="20" t="str">
        <x:v>2026-07-28</x:v>
      </x:c>
      <x:c r="W21" s="20" t="str">
        <x:v>核心解释</x:v>
      </x:c>
      <x:c r="X21" s="23" t="n">
        <x:v>2</x:v>
      </x:c>
      <x:c r="Y21" s="23" t="n">
        <x:v>2</x:v>
      </x:c>
      <x:c r="Z21" s="23" t="n">
        <x:v>2</x:v>
      </x:c>
      <x:c r="AA21" s="20" t="str">
        <x:v>C 深度补充</x:v>
      </x:c>
      <x:c r="AB21" s="20" t="str">
        <x:v>独立主题</x:v>
      </x:c>
      <x:c r="AC21" s="20" t="str">
        <x:v>文化历史|首次经典</x:v>
      </x:c>
      <x:c r="AD21" s="20" t="str">
        <x:v>深度</x:v>
      </x:c>
      <x:c r="AE21" s="20" t="str">
        <x:v>开埠商业的室内补充</x:v>
      </x:c>
      <x:c r="AF21" s="20" t="str">
        <x:v>开埠商业的室内补充。用银行建筑和金融机构解释重庆如何从码头城市进入现代商业</x:v>
      </x:c>
      <x:c r="AG21" s="20" t="str">
        <x:v>周一闭馆、午间闭馆</x:v>
      </x:c>
      <x:c r="AH21" s="23" t="n">
        <x:f>ROUND(I21*'参数字典'!$B$16+J21*'参数字典'!$B$17+X21*20*'参数字典'!$B$18+Y21*20*'参数字典'!$B$19+Z21*20*'参数字典'!$B$20,0)</x:f>
        <x:v>54</x:v>
      </x:c>
    </x:row>
    <x:row r="22" ht="56" customHeight="1">
      <x:c r="A22" s="20" t="str">
        <x:v>CQ017</x:v>
      </x:c>
      <x:c r="B22" s="20" t="str">
        <x:v>重庆中国三峡博物馆</x:v>
      </x:c>
      <x:c r="C22" s="20" t="str">
        <x:v>渝中</x:v>
      </x:c>
      <x:c r="D22" s="20" t="str">
        <x:v>D3世界城市</x:v>
      </x:c>
      <x:c r="E22" s="20" t="str">
        <x:v>综合博物馆</x:v>
      </x:c>
      <x:c r="F22" s="20" t="str">
        <x:v>必去核心</x:v>
      </x:c>
      <x:c r="G22" s="20" t="str">
        <x:v>为巴渝、三峡、抗战建立框架</x:v>
      </x:c>
      <x:c r="H22" s="20" t="str">
        <x:v>文化/亲子/雨天</x:v>
      </x:c>
      <x:c r="I22" s="23" t="n">
        <x:v>94</x:v>
      </x:c>
      <x:c r="J22" s="23" t="n">
        <x:v>85</x:v>
      </x:c>
      <x:c r="K22" s="20" t="str">
        <x:v>A</x:v>
      </x:c>
      <x:c r="L22" s="23" t="n">
        <x:v>150</x:v>
      </x:c>
      <x:c r="M22" s="20" t="str">
        <x:v>09:00开馆</x:v>
      </x:c>
      <x:c r="N22" s="20" t="str">
        <x:v>曾家岩站</x:v>
      </x:c>
      <x:c r="O22" s="20" t="str">
        <x:v>有效证件入馆；英文覆盖不均</x:v>
      </x:c>
      <x:c r="P22" s="20" t="str">
        <x:v>雨天核心</x:v>
      </x:c>
      <x:c r="Q22" s="20" t="str">
        <x:v>周一闭馆、临展变化</x:v>
      </x:c>
      <x:c r="R22" s="20" t="str">
        <x:v>只选与路线相关展厅，不做“逛完整馆”任务</x:v>
      </x:c>
      <x:c r="S22" s="20" t="str">
        <x:v>先看地形与移民，再回看前两天所见</x:v>
      </x:c>
      <x:c r="T22" s="20" t="str">
        <x:v>https://www.3gmuseum.cn/web/article/1430010139317059584/web/content_1430010139317059584.html</x:v>
      </x:c>
      <x:c r="U22" s="20" t="str">
        <x:v>https://whlyw.cq.gov.cn/hdjl_221/xzzq/202601/t20260115_15320860.html</x:v>
      </x:c>
      <x:c r="V22" s="20" t="str">
        <x:v>2026-07-28</x:v>
      </x:c>
      <x:c r="W22" s="20" t="str">
        <x:v>核心解释/付费体验</x:v>
      </x:c>
      <x:c r="X22" s="23" t="n">
        <x:v>4</x:v>
      </x:c>
      <x:c r="Y22" s="23" t="n">
        <x:v>5</x:v>
      </x:c>
      <x:c r="Z22" s="23" t="n">
        <x:v>5</x:v>
      </x:c>
      <x:c r="AA22" s="20" t="str">
        <x:v>A 必须</x:v>
      </x:c>
      <x:c r="AB22" s="20" t="str">
        <x:v>博物馆/历史场馆</x:v>
      </x:c>
      <x:c r="AC22" s="20" t="str">
        <x:v>文化历史|亲子轻松|首次经典</x:v>
      </x:c>
      <x:c r="AD22" s="20" t="str">
        <x:v>精简|标准|深度</x:v>
      </x:c>
      <x:c r="AE22" s="20" t="str">
        <x:v>为巴渝、三峡、抗战建立框架</x:v>
      </x:c>
      <x:c r="AF22" s="20" t="str">
        <x:v>为巴渝、三峡、抗战建立框架。只选与路线相关展厅，不做“逛完整馆”任务</x:v>
      </x:c>
      <x:c r="AG22" s="20" t="str">
        <x:v>周一闭馆、临展变化</x:v>
      </x:c>
      <x:c r="AH22" s="23" t="n">
        <x:f>ROUND(I22*'参数字典'!$B$16+J22*'参数字典'!$B$17+X22*20*'参数字典'!$B$18+Y22*20*'参数字典'!$B$19+Z22*20*'参数字典'!$B$20,0)</x:f>
        <x:v>93</x:v>
      </x:c>
    </x:row>
    <x:row r="23" ht="56" customHeight="1">
      <x:c r="A23" s="20" t="str">
        <x:v>CQ018</x:v>
      </x:c>
      <x:c r="B23" s="20" t="str">
        <x:v>重庆市人民大礼堂外观</x:v>
      </x:c>
      <x:c r="C23" s="20" t="str">
        <x:v>渝中</x:v>
      </x:c>
      <x:c r="D23" s="20" t="str">
        <x:v>D3世界城市</x:v>
      </x:c>
      <x:c r="E23" s="20" t="str">
        <x:v>公共建筑</x:v>
      </x:c>
      <x:c r="F23" s="20" t="str">
        <x:v>只顺路</x:v>
      </x:c>
      <x:c r="G23" s="20" t="str">
        <x:v>与三峡博物馆形成城市轴线</x:v>
      </x:c>
      <x:c r="H23" s="20" t="str">
        <x:v>建筑/摄影</x:v>
      </x:c>
      <x:c r="I23" s="23" t="n">
        <x:v>85</x:v>
      </x:c>
      <x:c r="J23" s="23" t="n">
        <x:v>76</x:v>
      </x:c>
      <x:c r="K23" s="20" t="str">
        <x:v>B</x:v>
      </x:c>
      <x:c r="L23" s="23" t="n">
        <x:v>20</x:v>
      </x:c>
      <x:c r="M23" s="20" t="str">
        <x:v>博物馆前后</x:v>
      </x:c>
      <x:c r="N23" s="20" t="str">
        <x:v>人民广场步行</x:v>
      </x:c>
      <x:c r="O23" s="20" t="str">
        <x:v>活动时可能封控</x:v>
      </x:c>
      <x:c r="P23" s="20" t="str">
        <x:v>雨天短停</x:v>
      </x:c>
      <x:c r="Q23" s="20" t="str">
        <x:v>会议活动封闭</x:v>
      </x:c>
      <x:c r="R23" s="20" t="str">
        <x:v>讲20世纪公共建筑与当代城市仪式空间，外观足够</x:v>
      </x:c>
      <x:c r="S23" s="20" t="str">
        <x:v>从博物馆台阶观察轴线、尺度与人流</x:v>
      </x:c>
      <x:c r="T23" s="20" t="str">
        <x:v>https://whlyw.cq.gov.cn/hdjl_221/xzzq/202601/t20260115_15320860.html</x:v>
      </x:c>
      <x:c r="U23" s="20" t="str">
        <x:v>https://ghzrzyj.cq.gov.cn/ztlm_186/ghgb/zxgh/202507/P020250716371670706300.pdf</x:v>
      </x:c>
      <x:c r="V23" s="20" t="str">
        <x:v>2026-07-28</x:v>
      </x:c>
      <x:c r="W23" s="20" t="str">
        <x:v>真实生活</x:v>
      </x:c>
      <x:c r="X23" s="23" t="n">
        <x:v>3</x:v>
      </x:c>
      <x:c r="Y23" s="23" t="n">
        <x:v>2</x:v>
      </x:c>
      <x:c r="Z23" s="23" t="n">
        <x:v>2</x:v>
      </x:c>
      <x:c r="AA23" s="20" t="str">
        <x:v>C 深度补充</x:v>
      </x:c>
      <x:c r="AB23" s="20" t="str">
        <x:v>独立主题</x:v>
      </x:c>
      <x:c r="AC23" s="20" t="str">
        <x:v>赛博摄影|美食生活|复游客|首次经典</x:v>
      </x:c>
      <x:c r="AD23" s="20" t="str">
        <x:v>深度</x:v>
      </x:c>
      <x:c r="AE23" s="20" t="str">
        <x:v>与三峡博物馆形成城市轴线</x:v>
      </x:c>
      <x:c r="AF23" s="20" t="str">
        <x:v>与三峡博物馆形成城市轴线。讲20世纪公共建筑与当代城市仪式空间，外观足够</x:v>
      </x:c>
      <x:c r="AG23" s="20" t="str">
        <x:v>会议活动封闭</x:v>
      </x:c>
      <x:c r="AH23" s="23" t="n">
        <x:f>ROUND(I23*'参数字典'!$B$16+J23*'参数字典'!$B$17+X23*20*'参数字典'!$B$18+Y23*20*'参数字典'!$B$19+Z23*20*'参数字典'!$B$20,0)</x:f>
        <x:v>58</x:v>
      </x:c>
    </x:row>
    <x:row r="24" ht="56" customHeight="1">
      <x:c r="A24" s="20" t="str">
        <x:v>CQ019</x:v>
      </x:c>
      <x:c r="B24" s="20" t="str">
        <x:v>中山四路：桂园—周公馆—特园</x:v>
      </x:c>
      <x:c r="C24" s="20" t="str">
        <x:v>渝中</x:v>
      </x:c>
      <x:c r="D24" s="20" t="str">
        <x:v>D3世界城市</x:v>
      </x:c>
      <x:c r="E24" s="20" t="str">
        <x:v>抗战/外交街区</x:v>
      </x:c>
      <x:c r="F24" s="20" t="str">
        <x:v>必去核心</x:v>
      </x:c>
      <x:c r="G24" s="20" t="str">
        <x:v>把抗战陪都放进可步行街区</x:v>
      </x:c>
      <x:c r="H24" s="20" t="str">
        <x:v>历史/国际关系/建筑</x:v>
      </x:c>
      <x:c r="I24" s="23" t="n">
        <x:v>90</x:v>
      </x:c>
      <x:c r="J24" s="23" t="n">
        <x:v>85</x:v>
      </x:c>
      <x:c r="K24" s="20" t="str">
        <x:v>A</x:v>
      </x:c>
      <x:c r="L24" s="23" t="n">
        <x:v>120</x:v>
      </x:c>
      <x:c r="M24" s="20" t="str">
        <x:v>午后</x:v>
      </x:c>
      <x:c r="N24" s="20" t="str">
        <x:v>曾家岩站步行</x:v>
      </x:c>
      <x:c r="O24" s="20" t="str">
        <x:v>场馆开放日不同；英文讲解不稳定</x:v>
      </x:c>
      <x:c r="P24" s="20" t="str">
        <x:v>小雨可</x:v>
      </x:c>
      <x:c r="Q24" s="20" t="str">
        <x:v>周一闭馆、机关片区管制</x:v>
      </x:c>
      <x:c r="R24" s="20" t="str">
        <x:v>不是单一政治叙事；讲国共谈判、统一战线、文化人与国际传播</x:v>
      </x:c>
      <x:c r="S24" s="20" t="str">
        <x:v>比较住宅尺度、街道树荫与战时政治中心功能</x:v>
      </x:c>
      <x:c r="T24" s="20" t="str">
        <x:v>https://www.cqyz.gov.cn/zjyz/lyyz/rmdkd/202210/t20221005_11164444.html</x:v>
      </x:c>
      <x:c r="U24" s="20" t="str">
        <x:v>https://www.cqyz.gov.cn/zjyz/lyyz/lswh/lsww/202306/t20230625_12089545.html</x:v>
      </x:c>
      <x:c r="V24" s="20" t="str">
        <x:v>2026-07-28</x:v>
      </x:c>
      <x:c r="W24" s="20" t="str">
        <x:v>核心解释/付费体验</x:v>
      </x:c>
      <x:c r="X24" s="23" t="n">
        <x:v>3</x:v>
      </x:c>
      <x:c r="Y24" s="23" t="n">
        <x:v>5</x:v>
      </x:c>
      <x:c r="Z24" s="23" t="n">
        <x:v>5</x:v>
      </x:c>
      <x:c r="AA24" s="20" t="str">
        <x:v>A 必须</x:v>
      </x:c>
      <x:c r="AB24" s="20" t="str">
        <x:v>博物馆/历史场馆</x:v>
      </x:c>
      <x:c r="AC24" s="20" t="str">
        <x:v>文化历史|首次经典</x:v>
      </x:c>
      <x:c r="AD24" s="20" t="str">
        <x:v>精简|标准|深度</x:v>
      </x:c>
      <x:c r="AE24" s="20" t="str">
        <x:v>把抗战陪都放进可步行街区</x:v>
      </x:c>
      <x:c r="AF24" s="20" t="str">
        <x:v>把抗战陪都放进可步行街区。不是单一政治叙事；讲国共谈判、统一战线、文化人与国际传播</x:v>
      </x:c>
      <x:c r="AG24" s="20" t="str">
        <x:v>周一闭馆、机关片区管制</x:v>
      </x:c>
      <x:c r="AH24" s="23" t="n">
        <x:f>ROUND(I24*'参数字典'!$B$16+J24*'参数字典'!$B$17+X24*20*'参数字典'!$B$18+Y24*20*'参数字典'!$B$19+Z24*20*'参数字典'!$B$20,0)</x:f>
        <x:v>88</x:v>
      </x:c>
    </x:row>
    <x:row r="25" ht="56" customHeight="1">
      <x:c r="A25" s="20" t="str">
        <x:v>CQ020</x:v>
      </x:c>
      <x:c r="B25" s="20" t="str">
        <x:v>重庆史迪威博物馆</x:v>
      </x:c>
      <x:c r="C25" s="20" t="str">
        <x:v>渝中</x:v>
      </x:c>
      <x:c r="D25" s="20" t="str">
        <x:v>D3世界城市</x:v>
      </x:c>
      <x:c r="E25" s="20" t="str">
        <x:v>二战/国际关系</x:v>
      </x:c>
      <x:c r="F25" s="20" t="str">
        <x:v>深度推荐</x:v>
      </x:c>
      <x:c r="G25" s="20" t="str">
        <x:v>外国游客可进入的中美共同抗战接口</x:v>
      </x:c>
      <x:c r="H25" s="20" t="str">
        <x:v>国际游客/历史/亲子</x:v>
      </x:c>
      <x:c r="I25" s="23" t="n">
        <x:v>90</x:v>
      </x:c>
      <x:c r="J25" s="23" t="n">
        <x:v>85</x:v>
      </x:c>
      <x:c r="K25" s="20" t="str">
        <x:v>A</x:v>
      </x:c>
      <x:c r="L25" s="23" t="n">
        <x:v>75</x:v>
      </x:c>
      <x:c r="M25" s="20" t="str">
        <x:v>下午</x:v>
      </x:c>
      <x:c r="N25" s="20" t="str">
        <x:v>李子坝/佛图关片区</x:v>
      </x:c>
      <x:c r="O25" s="20" t="str">
        <x:v>英文讲解与护照入馆待核验</x:v>
      </x:c>
      <x:c r="P25" s="20" t="str">
        <x:v>雨天核心</x:v>
      </x:c>
      <x:c r="Q25" s="20" t="str">
        <x:v>周一闭馆、临展变化</x:v>
      </x:c>
      <x:c r="R25" s="20" t="str">
        <x:v>用史迪威个人经历连接中国战区、飞虎队、滇缅公路和重庆</x:v>
      </x:c>
      <x:c r="S25" s="20" t="str">
        <x:v>让游客区分旧居、机构史与当代民间外交</x:v>
      </x:c>
      <x:c r="T25" s="20" t="str">
        <x:v>https://whlyw.cq.gov.cn/hdjl_221/xzzq/202601/t20260115_15320860.html</x:v>
      </x:c>
      <x:c r="U25" s="20" t="str">
        <x:v>https://www.cq.gov.cn/zwgk/zfxxgkml/zdlyxxgk/ggwh/wh/zxdt/202605/t20260518_15684252.html</x:v>
      </x:c>
      <x:c r="V25" s="20" t="str">
        <x:v>2026-07-28</x:v>
      </x:c>
      <x:c r="W25" s="20" t="str">
        <x:v>核心解释/付费体验</x:v>
      </x:c>
      <x:c r="X25" s="23" t="n">
        <x:v>3</x:v>
      </x:c>
      <x:c r="Y25" s="23" t="n">
        <x:v>4</x:v>
      </x:c>
      <x:c r="Z25" s="23" t="n">
        <x:v>5</x:v>
      </x:c>
      <x:c r="AA25" s="20" t="str">
        <x:v>B 按兴趣</x:v>
      </x:c>
      <x:c r="AB25" s="20" t="str">
        <x:v>博物馆/历史场馆</x:v>
      </x:c>
      <x:c r="AC25" s="20" t="str">
        <x:v>文化历史|亲子轻松|首次经典</x:v>
      </x:c>
      <x:c r="AD25" s="20" t="str">
        <x:v>标准|深度</x:v>
      </x:c>
      <x:c r="AE25" s="20" t="str">
        <x:v>外国游客可进入的中美共同抗战接口</x:v>
      </x:c>
      <x:c r="AF25" s="20" t="str">
        <x:v>外国游客可进入的中美共同抗战接口。用史迪威个人经历连接中国战区、飞虎队、滇缅公路和重庆</x:v>
      </x:c>
      <x:c r="AG25" s="20" t="str">
        <x:v>周一闭馆、临展变化</x:v>
      </x:c>
      <x:c r="AH25" s="23" t="n">
        <x:f>ROUND(I25*'参数字典'!$B$16+J25*'参数字典'!$B$17+X25*20*'参数字典'!$B$18+Y25*20*'参数字典'!$B$19+Z25*20*'参数字典'!$B$20,0)</x:f>
        <x:v>82</x:v>
      </x:c>
    </x:row>
    <x:row r="26" ht="56" customHeight="1">
      <x:c r="A26" s="20" t="str">
        <x:v>CQ021</x:v>
      </x:c>
      <x:c r="B26" s="20" t="str">
        <x:v>轨道2号线临江门—李子坝乘车体验</x:v>
      </x:c>
      <x:c r="C26" s="20" t="str">
        <x:v>渝中</x:v>
      </x:c>
      <x:c r="D26" s="20" t="str">
        <x:v>D3世界城市</x:v>
      </x:c>
      <x:c r="E26" s="20" t="str">
        <x:v>公共交通</x:v>
      </x:c>
      <x:c r="F26" s="20" t="str">
        <x:v>必去核心</x:v>
      </x:c>
      <x:c r="G26" s="20" t="str">
        <x:v>单轨是交通系统，不只是穿楼照片</x:v>
      </x:c>
      <x:c r="H26" s="20" t="str">
        <x:v>首次来渝/交通/亲子</x:v>
      </x:c>
      <x:c r="I26" s="23" t="n">
        <x:v>98</x:v>
      </x:c>
      <x:c r="J26" s="23" t="n">
        <x:v>85</x:v>
      </x:c>
      <x:c r="K26" s="20" t="str">
        <x:v>A</x:v>
      </x:c>
      <x:c r="L26" s="23" t="n">
        <x:v>35</x:v>
      </x:c>
      <x:c r="M26" s="20" t="str">
        <x:v>避开通勤高峰</x:v>
      </x:c>
      <x:c r="N26" s="20" t="str">
        <x:v>2号线乘坐</x:v>
      </x:c>
      <x:c r="O26" s="20" t="str">
        <x:v>拥挤时站位和方向需提示</x:v>
      </x:c>
      <x:c r="P26" s="20" t="str">
        <x:v>雨天核心</x:v>
      </x:c>
      <x:c r="Q26" s="20" t="str">
        <x:v>李子坝施工、车厢拥挤</x:v>
      </x:c>
      <x:c r="R26" s="20" t="str">
        <x:v>解释跨座式单轨如何适应曲线、坡度和密集建成区</x:v>
      </x:c>
      <x:c r="S26" s="20" t="str">
        <x:v>从车内观察高架、沿江、穿楼和站点高差</x:v>
      </x:c>
      <x:c r="T26" s="20" t="str">
        <x:v>https://www.cq.gov.cn/ywdt/jrcq/202606/t20260613_15751500.html</x:v>
      </x:c>
      <x:c r="U26" s="20" t="str">
        <x:v>https://www.cq.gov.cn/ywdt/jrcq/202605/t20260528_15709853.html</x:v>
      </x:c>
      <x:c r="V26" s="20" t="str">
        <x:v>2026-07-28</x:v>
      </x:c>
      <x:c r="W26" s="20" t="str">
        <x:v>引流钩子</x:v>
      </x:c>
      <x:c r="X26" s="23" t="n">
        <x:v>5</x:v>
      </x:c>
      <x:c r="Y26" s="23" t="n">
        <x:v>5</x:v>
      </x:c>
      <x:c r="Z26" s="23" t="n">
        <x:v>4</x:v>
      </x:c>
      <x:c r="AA26" s="20" t="str">
        <x:v>A 必须</x:v>
      </x:c>
      <x:c r="AB26" s="20" t="str">
        <x:v>交通奇观</x:v>
      </x:c>
      <x:c r="AC26" s="20" t="str">
        <x:v>赛博摄影|亲子轻松|首次经典</x:v>
      </x:c>
      <x:c r="AD26" s="20" t="str">
        <x:v>精简|标准|深度</x:v>
      </x:c>
      <x:c r="AE26" s="20" t="str">
        <x:v>单轨是交通系统，不只是穿楼照片</x:v>
      </x:c>
      <x:c r="AF26" s="20" t="str">
        <x:v>单轨是交通系统，不只是穿楼照片。解释跨座式单轨如何适应曲线、坡度和密集建成区</x:v>
      </x:c>
      <x:c r="AG26" s="20" t="str">
        <x:v>李子坝施工、车厢拥挤</x:v>
      </x:c>
      <x:c r="AH26" s="23" t="n">
        <x:f>ROUND(I26*'参数字典'!$B$16+J26*'参数字典'!$B$17+X26*20*'参数字典'!$B$18+Y26*20*'参数字典'!$B$19+Z26*20*'参数字典'!$B$20,0)</x:f>
        <x:v>94</x:v>
      </x:c>
    </x:row>
    <x:row r="27" ht="56" customHeight="1">
      <x:c r="A27" s="20" t="str">
        <x:v>CQ022</x:v>
      </x:c>
      <x:c r="B27" s="20" t="str">
        <x:v>李子坝观景台与垂直通道</x:v>
      </x:c>
      <x:c r="C27" s="20" t="str">
        <x:v>渝中</x:v>
      </x:c>
      <x:c r="D27" s="20" t="str">
        <x:v>D3世界城市</x:v>
      </x:c>
      <x:c r="E27" s="20" t="str">
        <x:v>交通景观</x:v>
      </x:c>
      <x:c r="F27" s="20" t="str">
        <x:v>条件推荐</x:v>
      </x:c>
      <x:c r="G27" s="20" t="str">
        <x:v>外部观察但严格限时</x:v>
      </x:c>
      <x:c r="H27" s="20" t="str">
        <x:v>首次来渝/摄影</x:v>
      </x:c>
      <x:c r="I27" s="23" t="n">
        <x:v>79</x:v>
      </x:c>
      <x:c r="J27" s="23" t="n">
        <x:v>85</x:v>
      </x:c>
      <x:c r="K27" s="20" t="str">
        <x:v>A</x:v>
      </x:c>
      <x:c r="L27" s="23" t="n">
        <x:v>25</x:v>
      </x:c>
      <x:c r="M27" s="20" t="str">
        <x:v>非高峰</x:v>
      </x:c>
      <x:c r="N27" s="20" t="str">
        <x:v>李子坝站</x:v>
      </x:c>
      <x:c r="O27" s="20" t="str">
        <x:v>2026年施工分区改变动线</x:v>
      </x:c>
      <x:c r="P27" s="20" t="str">
        <x:v>雨天可从站内看</x:v>
      </x:c>
      <x:c r="Q27" s="20" t="str">
        <x:v>施工至2026-12-30、客流过载</x:v>
      </x:c>
      <x:c r="R27" s="20" t="str">
        <x:v>不把观景台当完整体验；它只是验证列车与住宅空间关系</x:v>
      </x:c>
      <x:c r="S27" s="20" t="str">
        <x:v>比较站内、站外和上层道路三个地面</x:v>
      </x:c>
      <x:c r="T27" s="20" t="str">
        <x:v>https://www.cq.gov.cn/ywdt/jrcq/202606/t20260613_15751500.html</x:v>
      </x:c>
      <x:c r="U27" s="20" t="str">
        <x:v>https://www.cq.gov.cn/ywdt/jrcq/202605/t20260528_15709853.html</x:v>
      </x:c>
      <x:c r="V27" s="20" t="str">
        <x:v>2026-07-28</x:v>
      </x:c>
      <x:c r="W27" s="20" t="str">
        <x:v>引流钩子</x:v>
      </x:c>
      <x:c r="X27" s="23" t="n">
        <x:v>5</x:v>
      </x:c>
      <x:c r="Y27" s="23" t="n">
        <x:v>2</x:v>
      </x:c>
      <x:c r="Z27" s="23" t="n">
        <x:v>2</x:v>
      </x:c>
      <x:c r="AA27" s="20" t="str">
        <x:v>C 深度补充</x:v>
      </x:c>
      <x:c r="AB27" s="20" t="str">
        <x:v>交通奇观</x:v>
      </x:c>
      <x:c r="AC27" s="20" t="str">
        <x:v>赛博摄影|亲子轻松|首次经典</x:v>
      </x:c>
      <x:c r="AD27" s="20" t="str">
        <x:v>深度</x:v>
      </x:c>
      <x:c r="AE27" s="20" t="str">
        <x:v>外部观察但严格限时</x:v>
      </x:c>
      <x:c r="AF27" s="20" t="str">
        <x:v>外部观察但严格限时。不把观景台当完整体验；它只是验证列车与住宅空间关系</x:v>
      </x:c>
      <x:c r="AG27" s="20" t="str">
        <x:v>施工动线不稳时只保留乘车体验</x:v>
      </x:c>
      <x:c r="AH27" s="23" t="n">
        <x:f>ROUND(I27*'参数字典'!$B$16+J27*'参数字典'!$B$17+X27*20*'参数字典'!$B$18+Y27*20*'参数字典'!$B$19+Z27*20*'参数字典'!$B$20,0)</x:f>
        <x:v>67</x:v>
      </x:c>
    </x:row>
    <x:row r="28" ht="56" customHeight="1">
      <x:c r="A28" s="20" t="str">
        <x:v>CQ023</x:v>
      </x:c>
      <x:c r="B28" s="20" t="str">
        <x:v>鹅岭公园与瞰胜楼</x:v>
      </x:c>
      <x:c r="C28" s="20" t="str">
        <x:v>渝中</x:v>
      </x:c>
      <x:c r="D28" s="20" t="str">
        <x:v>D3世界城市</x:v>
      </x:c>
      <x:c r="E28" s="20" t="str">
        <x:v>公园/城市眺望</x:v>
      </x:c>
      <x:c r="F28" s="20" t="str">
        <x:v>深度推荐</x:v>
      </x:c>
      <x:c r="G28" s="20" t="str">
        <x:v>在高点复盘两江与半岛</x:v>
      </x:c>
      <x:c r="H28" s="20" t="str">
        <x:v>城市观察/摄影/本地生活</x:v>
      </x:c>
      <x:c r="I28" s="23" t="n">
        <x:v>80</x:v>
      </x:c>
      <x:c r="J28" s="23" t="n">
        <x:v>68</x:v>
      </x:c>
      <x:c r="K28" s="20" t="str">
        <x:v>C</x:v>
      </x:c>
      <x:c r="L28" s="23" t="n">
        <x:v>75</x:v>
      </x:c>
      <x:c r="M28" s="20" t="str">
        <x:v>日落前</x:v>
      </x:c>
      <x:c r="N28" s="20" t="str">
        <x:v>鹅岭站步行</x:v>
      </x:c>
      <x:c r="O28" s="20" t="str">
        <x:v>塔楼开放与能见度不稳定</x:v>
      </x:c>
      <x:c r="P28" s="20" t="str">
        <x:v>大雨改室内</x:v>
      </x:c>
      <x:c r="Q28" s="20" t="str">
        <x:v>坡道、雾霾、活动</x:v>
      </x:c>
      <x:c r="R28" s="20" t="str">
        <x:v>把观景从“拍夜景”转成城市读图与本地公园生活</x:v>
      </x:c>
      <x:c r="S28" s="20" t="str">
        <x:v>从高点指出两江、山脊和交通走廊</x:v>
      </x:c>
      <x:c r="T28" s="20" t="str">
        <x:v>https://ghzrzyj.cq.gov.cn/ztlm_186/ghgb/zxgh/202507/P020250716371670706300.pdf</x:v>
      </x:c>
      <x:c r="U28" s="20" t="str">
        <x:v>https://www.reddit.com/r/travelchina/comments/1o74mfa/trip_report_for_chongqing_4_night_stay/</x:v>
      </x:c>
      <x:c r="V28" s="20" t="str">
        <x:v>2026-07-28</x:v>
      </x:c>
      <x:c r="W28" s="20" t="str">
        <x:v>真实生活</x:v>
      </x:c>
      <x:c r="X28" s="23" t="n">
        <x:v>4</x:v>
      </x:c>
      <x:c r="Y28" s="23" t="n">
        <x:v>5</x:v>
      </x:c>
      <x:c r="Z28" s="23" t="n">
        <x:v>4</x:v>
      </x:c>
      <x:c r="AA28" s="20" t="str">
        <x:v>B 按兴趣</x:v>
      </x:c>
      <x:c r="AB28" s="20" t="str">
        <x:v>夜景/观景</x:v>
      </x:c>
      <x:c r="AC28" s="20" t="str">
        <x:v>赛博摄影|美食生活|亲子轻松|复游客|首次经典</x:v>
      </x:c>
      <x:c r="AD28" s="20" t="str">
        <x:v>标准|深度</x:v>
      </x:c>
      <x:c r="AE28" s="20" t="str">
        <x:v>在高点复盘两江与半岛</x:v>
      </x:c>
      <x:c r="AF28" s="20" t="str">
        <x:v>在高点复盘两江与半岛。把观景从“拍夜景”转成城市读图与本地公园生活</x:v>
      </x:c>
      <x:c r="AG28" s="20" t="str">
        <x:v>坡道、雾霾、活动</x:v>
      </x:c>
      <x:c r="AH28" s="23" t="n">
        <x:f>ROUND(I28*'参数字典'!$B$16+J28*'参数字典'!$B$17+X28*20*'参数字典'!$B$18+Y28*20*'参数字典'!$B$19+Z28*20*'参数字典'!$B$20,0)</x:f>
        <x:v>84</x:v>
      </x:c>
    </x:row>
    <x:row r="29" ht="56" customHeight="1">
      <x:c r="A29" s="20" t="str">
        <x:v>CQ024</x:v>
      </x:c>
      <x:c r="B29" s="20" t="str">
        <x:v>鹅岭二厂（TESTBED2）</x:v>
      </x:c>
      <x:c r="C29" s="20" t="str">
        <x:v>渝中</x:v>
      </x:c>
      <x:c r="D29" s="20" t="str">
        <x:v>D3世界城市</x:v>
      </x:c>
      <x:c r="E29" s="20" t="str">
        <x:v>工业更新/商业</x:v>
      </x:c>
      <x:c r="F29" s="20" t="str">
        <x:v>只顺路</x:v>
      </x:c>
      <x:c r="G29" s="20" t="str">
        <x:v>工业遗产更新对比样本</x:v>
      </x:c>
      <x:c r="H29" s="20" t="str">
        <x:v>摄影/年轻游客</x:v>
      </x:c>
      <x:c r="I29" s="23" t="n">
        <x:v>72</x:v>
      </x:c>
      <x:c r="J29" s="23" t="n">
        <x:v>60</x:v>
      </x:c>
      <x:c r="K29" s="20" t="str">
        <x:v>C</x:v>
      </x:c>
      <x:c r="L29" s="23" t="n">
        <x:v>30</x:v>
      </x:c>
      <x:c r="M29" s="20" t="str">
        <x:v>工作日下午</x:v>
      </x:c>
      <x:c r="N29" s="20" t="str">
        <x:v>鹅岭公园步行</x:v>
      </x:c>
      <x:c r="O29" s="20" t="str">
        <x:v>商户英语不稳定</x:v>
      </x:c>
      <x:c r="P29" s="20" t="str">
        <x:v>雨天可</x:v>
      </x:c>
      <x:c r="Q29" s="20" t="str">
        <x:v>商业同质、活动噪音</x:v>
      </x:c>
      <x:c r="R29" s="20" t="str">
        <x:v>不包装成独特文化地标；只讨论旧印刷厂如何被消费化</x:v>
      </x:c>
      <x:c r="S29" s="20" t="str">
        <x:v>找仍可读出的工业尺度、材料与新商业插入</x:v>
      </x:c>
      <x:c r="T29" s="20" t="str">
        <x:v>https://ghzrzyj.cq.gov.cn/bsfw_186/dtfw/mzyt/202511/t20251124_15184222_wap.html</x:v>
      </x:c>
      <x:c r="U29" s="20" t="str">
        <x:v>https://eprints.whiterose.ac.uk/id/eprint/185301/</x:v>
      </x:c>
      <x:c r="V29" s="20" t="str">
        <x:v>2026-07-28</x:v>
      </x:c>
      <x:c r="W29" s="20" t="str">
        <x:v>真实生活</x:v>
      </x:c>
      <x:c r="X29" s="23" t="n">
        <x:v>3</x:v>
      </x:c>
      <x:c r="Y29" s="23" t="n">
        <x:v>2</x:v>
      </x:c>
      <x:c r="Z29" s="23" t="n">
        <x:v>2</x:v>
      </x:c>
      <x:c r="AA29" s="20" t="str">
        <x:v>X 默认不输出</x:v>
      </x:c>
      <x:c r="AB29" s="20" t="str">
        <x:v>更新街区/老街</x:v>
      </x:c>
      <x:c r="AC29" s="20" t="str">
        <x:v>赛博摄影|美食生活|复游客|首次经典</x:v>
      </x:c>
      <x:c r="AD29" s="20" t="str">
        <x:v>仅定向</x:v>
      </x:c>
      <x:c r="AE29" s="20" t="str">
        <x:v>工业遗产更新对比样本</x:v>
      </x:c>
      <x:c r="AF29" s="20" t="str">
        <x:v>工业遗产更新对比样本。不包装成独特文化地标；只讨论旧印刷厂如何被消费化</x:v>
      </x:c>
      <x:c r="AG29" s="20" t="str">
        <x:v>与其他商业街重复时优先删除</x:v>
      </x:c>
      <x:c r="AH29" s="23" t="n">
        <x:f>ROUND(I29*'参数字典'!$B$16+J29*'参数字典'!$B$17+X29*20*'参数字典'!$B$18+Y29*20*'参数字典'!$B$19+Z29*20*'参数字典'!$B$20,0)</x:f>
        <x:v>53</x:v>
      </x:c>
    </x:row>
    <x:row r="30" ht="56" customHeight="1">
      <x:c r="A30" s="20" t="str">
        <x:v>CQ025</x:v>
      </x:c>
      <x:c r="B30" s="20" t="str">
        <x:v>重庆开埠遗址公园</x:v>
      </x:c>
      <x:c r="C30" s="20" t="str">
        <x:v>南岸</x:v>
      </x:c>
      <x:c r="D30" s="20" t="str">
        <x:v>D4A开埠山路</x:v>
      </x:c>
      <x:c r="E30" s="20" t="str">
        <x:v>开埠史/建筑</x:v>
      </x:c>
      <x:c r="F30" s="20" t="str">
        <x:v>必去核心</x:v>
      </x:c>
      <x:c r="G30" s="20" t="str">
        <x:v>把1891年开埠落到真实建筑群</x:v>
      </x:c>
      <x:c r="H30" s="20" t="str">
        <x:v>历史/建筑/国际游客</x:v>
      </x:c>
      <x:c r="I30" s="23" t="n">
        <x:v>94</x:v>
      </x:c>
      <x:c r="J30" s="23" t="n">
        <x:v>85</x:v>
      </x:c>
      <x:c r="K30" s="20" t="str">
        <x:v>A</x:v>
      </x:c>
      <x:c r="L30" s="23" t="n">
        <x:v>90</x:v>
      </x:c>
      <x:c r="M30" s="20" t="str">
        <x:v>上午</x:v>
      </x:c>
      <x:c r="N30" s="20" t="str">
        <x:v>上新街/短程车</x:v>
      </x:c>
      <x:c r="O30" s="20" t="str">
        <x:v>展陈英文覆盖待核验</x:v>
      </x:c>
      <x:c r="P30" s="20" t="str">
        <x:v>雨天部分可</x:v>
      </x:c>
      <x:c r="Q30" s="20" t="str">
        <x:v>活动、展馆开放变化</x:v>
      </x:c>
      <x:c r="R30" s="20" t="str">
        <x:v>讲川江航运、洋行、领馆与城市对外开放，不把开埠浪漫化</x:v>
      </x:c>
      <x:c r="S30" s="20" t="str">
        <x:v>辨认立德乐洋行等旧址与长江航道关系</x:v>
      </x:c>
      <x:c r="T30" s="20" t="str">
        <x:v>https://www.cq.gov.cn/ywdt/zwhd/bmdt/202511/t20251113_15160016.html</x:v>
      </x:c>
      <x:c r="U30" s="20" t="str">
        <x:v>https://www.cq.gov.cn/ywdt/jrcq/202605/t20260506_15650945.html</x:v>
      </x:c>
      <x:c r="V30" s="20" t="str">
        <x:v>2026-07-28</x:v>
      </x:c>
      <x:c r="W30" s="20" t="str">
        <x:v>核心解释/付费体验</x:v>
      </x:c>
      <x:c r="X30" s="23" t="n">
        <x:v>4</x:v>
      </x:c>
      <x:c r="Y30" s="23" t="n">
        <x:v>5</x:v>
      </x:c>
      <x:c r="Z30" s="23" t="n">
        <x:v>5</x:v>
      </x:c>
      <x:c r="AA30" s="20" t="str">
        <x:v>A 必须</x:v>
      </x:c>
      <x:c r="AB30" s="20" t="str">
        <x:v>独立主题</x:v>
      </x:c>
      <x:c r="AC30" s="20" t="str">
        <x:v>文化历史|复游客|首次经典</x:v>
      </x:c>
      <x:c r="AD30" s="20" t="str">
        <x:v>精简|标准|深度</x:v>
      </x:c>
      <x:c r="AE30" s="20" t="str">
        <x:v>把1891年开埠落到真实建筑群</x:v>
      </x:c>
      <x:c r="AF30" s="20" t="str">
        <x:v>把1891年开埠落到真实建筑群。讲川江航运、洋行、领馆与城市对外开放，不把开埠浪漫化</x:v>
      </x:c>
      <x:c r="AG30" s="20" t="str">
        <x:v>活动、展馆开放变化</x:v>
      </x:c>
      <x:c r="AH30" s="23" t="n">
        <x:f>ROUND(I30*'参数字典'!$B$16+J30*'参数字典'!$B$17+X30*20*'参数字典'!$B$18+Y30*20*'参数字典'!$B$19+Z30*20*'参数字典'!$B$20,0)</x:f>
        <x:v>93</x:v>
      </x:c>
    </x:row>
    <x:row r="31" ht="56" customHeight="1">
      <x:c r="A31" s="20" t="str">
        <x:v>CQ026</x:v>
      </x:c>
      <x:c r="B31" s="20" t="str">
        <x:v>龙门浩—下浩里</x:v>
      </x:c>
      <x:c r="C31" s="20" t="str">
        <x:v>南岸</x:v>
      </x:c>
      <x:c r="D31" s="20" t="str">
        <x:v>D4A开埠山路</x:v>
      </x:c>
      <x:c r="E31" s="20" t="str">
        <x:v>历史街区/更新</x:v>
      </x:c>
      <x:c r="F31" s="20" t="str">
        <x:v>深度推荐</x:v>
      </x:c>
      <x:c r="G31" s="20" t="str">
        <x:v>开埠、街巷与更新的收束</x:v>
      </x:c>
      <x:c r="H31" s="20" t="str">
        <x:v>城市史/建筑/摄影</x:v>
      </x:c>
      <x:c r="I31" s="23" t="n">
        <x:v>87</x:v>
      </x:c>
      <x:c r="J31" s="23" t="n">
        <x:v>85</x:v>
      </x:c>
      <x:c r="K31" s="20" t="str">
        <x:v>A</x:v>
      </x:c>
      <x:c r="L31" s="23" t="n">
        <x:v>120</x:v>
      </x:c>
      <x:c r="M31" s="20" t="str">
        <x:v>日落前后</x:v>
      </x:c>
      <x:c r="N31" s="20" t="str">
        <x:v>上新街站步行</x:v>
      </x:c>
      <x:c r="O31" s="20" t="str">
        <x:v>台阶和入口层级</x:v>
      </x:c>
      <x:c r="P31" s="20" t="str">
        <x:v>低体力只走龙门浩上层</x:v>
      </x:c>
      <x:c r="Q31" s="20" t="str">
        <x:v>商业化、节假日大客流</x:v>
      </x:c>
      <x:c r="R31" s="20" t="str">
        <x:v>与十八梯对照：同为更新街区，但历史环境和江岸关系不同</x:v>
      </x:c>
      <x:c r="S31" s="20" t="str">
        <x:v>比较保留建筑、修复立面、新商业与居民空间</x:v>
      </x:c>
      <x:c r="T31" s="20" t="str">
        <x:v>https://www.cq.gov.cn/ywdt/zwhd/bmdt/202511/t20251113_15160016.html</x:v>
      </x:c>
      <x:c r="U31" s="20" t="str">
        <x:v>https://ghzrzyj.cq.gov.cn/bsfw_186/dtfw/mzyt/202511/t20251124_15184222_wap.html</x:v>
      </x:c>
      <x:c r="V31" s="20" t="str">
        <x:v>2026-07-28</x:v>
      </x:c>
      <x:c r="W31" s="20" t="str">
        <x:v>真实生活</x:v>
      </x:c>
      <x:c r="X31" s="23" t="n">
        <x:v>4</x:v>
      </x:c>
      <x:c r="Y31" s="23" t="n">
        <x:v>4</x:v>
      </x:c>
      <x:c r="Z31" s="23" t="n">
        <x:v>4</x:v>
      </x:c>
      <x:c r="AA31" s="20" t="str">
        <x:v>B 按兴趣</x:v>
      </x:c>
      <x:c r="AB31" s="20" t="str">
        <x:v>更新街区/老街</x:v>
      </x:c>
      <x:c r="AC31" s="20" t="str">
        <x:v>赛博摄影|文化历史|美食生活|复游客|首次经典</x:v>
      </x:c>
      <x:c r="AD31" s="20" t="str">
        <x:v>标准|深度</x:v>
      </x:c>
      <x:c r="AE31" s="20" t="str">
        <x:v>开埠、街巷与更新的收束</x:v>
      </x:c>
      <x:c r="AF31" s="20" t="str">
        <x:v>开埠、街巷与更新的收束。与十八梯对照：同为更新街区，但历史环境和江岸关系不同</x:v>
      </x:c>
      <x:c r="AG31" s="20" t="str">
        <x:v>商业化、节假日大客流</x:v>
      </x:c>
      <x:c r="AH31" s="23" t="n">
        <x:f>ROUND(I31*'参数字典'!$B$16+J31*'参数字典'!$B$17+X31*20*'参数字典'!$B$18+Y31*20*'参数字典'!$B$19+Z31*20*'参数字典'!$B$20,0)</x:f>
        <x:v>82</x:v>
      </x:c>
    </x:row>
    <x:row r="32" ht="56" customHeight="1">
      <x:c r="A32" s="20" t="str">
        <x:v>CQ027</x:v>
      </x:c>
      <x:c r="B32" s="20" t="str">
        <x:v>黄葛古道</x:v>
      </x:c>
      <x:c r="C32" s="20" t="str">
        <x:v>南岸</x:v>
      </x:c>
      <x:c r="D32" s="20" t="str">
        <x:v>D4A开埠山路</x:v>
      </x:c>
      <x:c r="E32" s="20" t="str">
        <x:v>古道/山地步行</x:v>
      </x:c>
      <x:c r="F32" s="20" t="str">
        <x:v>深度推荐</x:v>
      </x:c>
      <x:c r="G32" s="20" t="str">
        <x:v>山地交通与日常路径的长距离体验</x:v>
      </x:c>
      <x:c r="H32" s="20" t="str">
        <x:v>背包客/徒步/城市观察</x:v>
      </x:c>
      <x:c r="I32" s="23" t="n">
        <x:v>78</x:v>
      </x:c>
      <x:c r="J32" s="23" t="n">
        <x:v>76</x:v>
      </x:c>
      <x:c r="K32" s="20" t="str">
        <x:v>B</x:v>
      </x:c>
      <x:c r="L32" s="23" t="n">
        <x:v>150</x:v>
      </x:c>
      <x:c r="M32" s="20" t="str">
        <x:v>凉季上午/夏季清晨</x:v>
      </x:c>
      <x:c r="N32" s="20" t="str">
        <x:v>上新街向黄桷垭上行或反向</x:v>
      </x:c>
      <x:c r="O32" s="20" t="str">
        <x:v>连续爬升、英语和补给不足</x:v>
      </x:c>
      <x:c r="P32" s="20" t="str">
        <x:v>低体力删除</x:v>
      </x:c>
      <x:c r="Q32" s="20" t="str">
        <x:v>高温、湿滑、体力透支</x:v>
      </x:c>
      <x:c r="R32" s="20" t="str">
        <x:v>把古道视为运输与聚落路径，不只是一段绿荫</x:v>
      </x:c>
      <x:c r="S32" s="20" t="str">
        <x:v>记录路面、节点、树荫、居民使用和坡度变化</x:v>
      </x:c>
      <x:c r="T32" s="20" t="str">
        <x:v>https://www.cq.gov.cn/zwgk/zfxxgkml/zdlyxxgk/ggwh/ly/zxdt/202511/t20251107_15146900.html</x:v>
      </x:c>
      <x:c r="U32" s="20" t="str">
        <x:v>https://www.shplanning.com.cn/archive/download/id/487.html</x:v>
      </x:c>
      <x:c r="V32" s="20" t="str">
        <x:v>2026-07-28</x:v>
      </x:c>
      <x:c r="W32" s="20" t="str">
        <x:v>核心解释/付费体验</x:v>
      </x:c>
      <x:c r="X32" s="23" t="n">
        <x:v>3</x:v>
      </x:c>
      <x:c r="Y32" s="23" t="n">
        <x:v>5</x:v>
      </x:c>
      <x:c r="Z32" s="23" t="n">
        <x:v>5</x:v>
      </x:c>
      <x:c r="AA32" s="20" t="str">
        <x:v>B 按兴趣</x:v>
      </x:c>
      <x:c r="AB32" s="20" t="str">
        <x:v>高体力步道</x:v>
      </x:c>
      <x:c r="AC32" s="20" t="str">
        <x:v>文化历史|复游客|首次经典</x:v>
      </x:c>
      <x:c r="AD32" s="20" t="str">
        <x:v>标准|深度</x:v>
      </x:c>
      <x:c r="AE32" s="20" t="str">
        <x:v>山地交通与日常路径的长距离体验</x:v>
      </x:c>
      <x:c r="AF32" s="20" t="str">
        <x:v>山地交通与日常路径的长距离体验。把古道视为运输与聚落路径，不只是一段绿荫</x:v>
      </x:c>
      <x:c r="AG32" s="20" t="str">
        <x:v>雨天、低体力或未实测路线即删除</x:v>
      </x:c>
      <x:c r="AH32" s="23" t="n">
        <x:f>ROUND(I32*'参数字典'!$B$16+J32*'参数字典'!$B$17+X32*20*'参数字典'!$B$18+Y32*20*'参数字典'!$B$19+Z32*20*'参数字典'!$B$20,0)</x:f>
        <x:v>84</x:v>
      </x:c>
    </x:row>
    <x:row r="33" ht="56" customHeight="1">
      <x:c r="A33" s="20" t="str">
        <x:v>CQ028</x:v>
      </x:c>
      <x:c r="B33" s="20" t="str">
        <x:v>黄桷垭老街</x:v>
      </x:c>
      <x:c r="C33" s="20" t="str">
        <x:v>南岸</x:v>
      </x:c>
      <x:c r="D33" s="20" t="str">
        <x:v>D4A开埠山路</x:v>
      </x:c>
      <x:c r="E33" s="20" t="str">
        <x:v>山上聚落/老街</x:v>
      </x:c>
      <x:c r="F33" s="20" t="str">
        <x:v>条件推荐</x:v>
      </x:c>
      <x:c r="G33" s="20" t="str">
        <x:v>黄葛古道恢复节点</x:v>
      </x:c>
      <x:c r="H33" s="20" t="str">
        <x:v>徒步/慢旅行</x:v>
      </x:c>
      <x:c r="I33" s="23" t="n">
        <x:v>76</x:v>
      </x:c>
      <x:c r="J33" s="23" t="n">
        <x:v>63</x:v>
      </x:c>
      <x:c r="K33" s="20" t="str">
        <x:v>C</x:v>
      </x:c>
      <x:c r="L33" s="23" t="n">
        <x:v>60</x:v>
      </x:c>
      <x:c r="M33" s="20" t="str">
        <x:v>午间</x:v>
      </x:c>
      <x:c r="N33" s="20" t="str">
        <x:v>古道上端</x:v>
      </x:c>
      <x:c r="O33" s="20" t="str">
        <x:v>英语不稳定</x:v>
      </x:c>
      <x:c r="P33" s="20" t="str">
        <x:v>雨天可</x:v>
      </x:c>
      <x:c r="Q33" s="20" t="str">
        <x:v>商业化、餐饮质量</x:v>
      </x:c>
      <x:c r="R33" s="20" t="str">
        <x:v>不要再堆“古街”；讲山口聚落如何服务往来人群</x:v>
      </x:c>
      <x:c r="S33" s="20" t="str">
        <x:v>观察地名、街巷尺度和补给功能</x:v>
      </x:c>
      <x:c r="T33" s="20" t="str">
        <x:v>https://www.cq.gov.cn/zwgk/zfxxgkml/zdlyxxgk/ggwh/ly/zxdt/202511/t20251107_15146900.html</x:v>
      </x:c>
      <x:c r="U33" s="20" t="str">
        <x:v>https://ghzrzyj.cq.gov.cn/bsfw_186/dtfw/mzyt/202511/t20251124_15184222_wap.html</x:v>
      </x:c>
      <x:c r="V33" s="20" t="str">
        <x:v>2026-07-28</x:v>
      </x:c>
      <x:c r="W33" s="20" t="str">
        <x:v>真实生活</x:v>
      </x:c>
      <x:c r="X33" s="23" t="n">
        <x:v>2</x:v>
      </x:c>
      <x:c r="Y33" s="23" t="n">
        <x:v>2</x:v>
      </x:c>
      <x:c r="Z33" s="23" t="n">
        <x:v>2</x:v>
      </x:c>
      <x:c r="AA33" s="20" t="str">
        <x:v>C 深度补充</x:v>
      </x:c>
      <x:c r="AB33" s="20" t="str">
        <x:v>更新街区/老街</x:v>
      </x:c>
      <x:c r="AC33" s="20" t="str">
        <x:v>文化历史|美食生活|复游客|首次经典</x:v>
      </x:c>
      <x:c r="AD33" s="20" t="str">
        <x:v>深度</x:v>
      </x:c>
      <x:c r="AE33" s="20" t="str">
        <x:v>黄葛古道恢复节点</x:v>
      </x:c>
      <x:c r="AF33" s="20" t="str">
        <x:v>黄葛古道恢复节点。不要再堆“古街”；讲山口聚落如何服务往来人群</x:v>
      </x:c>
      <x:c r="AG33" s="20" t="str">
        <x:v>商业化、餐饮质量</x:v>
      </x:c>
      <x:c r="AH33" s="23" t="n">
        <x:f>ROUND(I33*'参数字典'!$B$16+J33*'参数字典'!$B$17+X33*20*'参数字典'!$B$18+Y33*20*'参数字典'!$B$19+Z33*20*'参数字典'!$B$20,0)</x:f>
        <x:v>51</x:v>
      </x:c>
    </x:row>
    <x:row r="34" ht="56" customHeight="1">
      <x:c r="A34" s="20" t="str">
        <x:v>CQ029</x:v>
      </x:c>
      <x:c r="B34" s="20" t="str">
        <x:v>黄桷坪涂鸦街与川美旧校区周边</x:v>
      </x:c>
      <x:c r="C34" s="20" t="str">
        <x:v>九龙坡</x:v>
      </x:c>
      <x:c r="D34" s="20" t="str">
        <x:v>D4B工业艺术</x:v>
      </x:c>
      <x:c r="E34" s="20" t="str">
        <x:v>艺术社区</x:v>
      </x:c>
      <x:c r="F34" s="20" t="str">
        <x:v>深度推荐</x:v>
      </x:c>
      <x:c r="G34" s="20" t="str">
        <x:v>学院艺术如何进入社区表面</x:v>
      </x:c>
      <x:c r="H34" s="20" t="str">
        <x:v>艺术/摄影/年轻游客</x:v>
      </x:c>
      <x:c r="I34" s="23" t="n">
        <x:v>80</x:v>
      </x:c>
      <x:c r="J34" s="23" t="n">
        <x:v>76</x:v>
      </x:c>
      <x:c r="K34" s="20" t="str">
        <x:v>B</x:v>
      </x:c>
      <x:c r="L34" s="23" t="n">
        <x:v>90</x:v>
      </x:c>
      <x:c r="M34" s="20" t="str">
        <x:v>工作日上午</x:v>
      </x:c>
      <x:c r="N34" s="20" t="str">
        <x:v>杨家坪/短程车</x:v>
      </x:c>
      <x:c r="O34" s="20" t="str">
        <x:v>校园开放边界与英文服务</x:v>
      </x:c>
      <x:c r="P34" s="20" t="str">
        <x:v>小雨可</x:v>
      </x:c>
      <x:c r="Q34" s="20" t="str">
        <x:v>内容老化、校园限制</x:v>
      </x:c>
      <x:c r="R34" s="20" t="str">
        <x:v>不把每面墙当艺术；讲学院、社区更新和公共空间之间的关系</x:v>
      </x:c>
      <x:c r="S34" s="20" t="str">
        <x:v>区分官方项目、自然老化与商业二次利用</x:v>
      </x:c>
      <x:c r="T34" s="20" t="str">
        <x:v>https://mzj.cq.gov.cn/sy_218/bmdt/mzyw/t_14233171.html</x:v>
      </x:c>
      <x:c r="U34" s="20" t="str">
        <x:v>https://ghzrzyj.cq.gov.cn/bsfw_186/dtfw/mzyt/202511/t20251124_15184222_wap.html</x:v>
      </x:c>
      <x:c r="V34" s="20" t="str">
        <x:v>2026-07-28</x:v>
      </x:c>
      <x:c r="W34" s="20" t="str">
        <x:v>真实生活</x:v>
      </x:c>
      <x:c r="X34" s="23" t="n">
        <x:v>3</x:v>
      </x:c>
      <x:c r="Y34" s="23" t="n">
        <x:v>4</x:v>
      </x:c>
      <x:c r="Z34" s="23" t="n">
        <x:v>4</x:v>
      </x:c>
      <x:c r="AA34" s="20" t="str">
        <x:v>B 按兴趣</x:v>
      </x:c>
      <x:c r="AB34" s="20" t="str">
        <x:v>更新街区/老街</x:v>
      </x:c>
      <x:c r="AC34" s="20" t="str">
        <x:v>赛博摄影|美食生活|复游客|首次经典</x:v>
      </x:c>
      <x:c r="AD34" s="20" t="str">
        <x:v>标准|深度</x:v>
      </x:c>
      <x:c r="AE34" s="20" t="str">
        <x:v>学院艺术如何进入社区表面</x:v>
      </x:c>
      <x:c r="AF34" s="20" t="str">
        <x:v>学院艺术如何进入社区表面。不把每面墙当艺术；讲学院、社区更新和公共空间之间的关系</x:v>
      </x:c>
      <x:c r="AG34" s="20" t="str">
        <x:v>内容老化、校园限制</x:v>
      </x:c>
      <x:c r="AH34" s="23" t="n">
        <x:f>ROUND(I34*'参数字典'!$B$16+J34*'参数字典'!$B$17+X34*20*'参数字典'!$B$18+Y34*20*'参数字典'!$B$19+Z34*20*'参数字典'!$B$20,0)</x:f>
        <x:v>75</x:v>
      </x:c>
    </x:row>
    <x:row r="35" ht="56" customHeight="1">
      <x:c r="A35" s="20" t="str">
        <x:v>CQ030</x:v>
      </x:c>
      <x:c r="B35" s="20" t="str">
        <x:v>交通茶馆</x:v>
      </x:c>
      <x:c r="C35" s="20" t="str">
        <x:v>九龙坡</x:v>
      </x:c>
      <x:c r="D35" s="20" t="str">
        <x:v>D4B工业艺术</x:v>
      </x:c>
      <x:c r="E35" s="20" t="str">
        <x:v>茶馆/社会空间</x:v>
      </x:c>
      <x:c r="F35" s="20" t="str">
        <x:v>条件推荐</x:v>
      </x:c>
      <x:c r="G35" s="20" t="str">
        <x:v>真实社会空间但旅游化明显</x:v>
      </x:c>
      <x:c r="H35" s="20" t="str">
        <x:v>文化/摄影/慢旅行</x:v>
      </x:c>
      <x:c r="I35" s="23" t="n">
        <x:v>82</x:v>
      </x:c>
      <x:c r="J35" s="23" t="n">
        <x:v>68</x:v>
      </x:c>
      <x:c r="K35" s="20" t="str">
        <x:v>C</x:v>
      </x:c>
      <x:c r="L35" s="23" t="n">
        <x:v>45</x:v>
      </x:c>
      <x:c r="M35" s="20" t="str">
        <x:v>工作日上午</x:v>
      </x:c>
      <x:c r="N35" s="20" t="str">
        <x:v>黄桷坪步行</x:v>
      </x:c>
      <x:c r="O35" s="20" t="str">
        <x:v>无稳定英语；拍摄伦理</x:v>
      </x:c>
      <x:c r="P35" s="20" t="str">
        <x:v>雨天核心</x:v>
      </x:c>
      <x:c r="Q35" s="20" t="str">
        <x:v>扰民、摆拍、座位冲突</x:v>
      </x:c>
      <x:c r="R35" s="20" t="str">
        <x:v>从“老重庆滤镜”转向座位、熟客、消费和摄影权的社会规则</x:v>
      </x:c>
      <x:c r="S35" s="20" t="str">
        <x:v>先喝茶再观察；未经同意不近距离拍人</x:v>
      </x:c>
      <x:c r="T35" s="20" t="str">
        <x:v>https://mzj.cq.gov.cn/sy_218/bmdt/mzyw/t_14233171.html</x:v>
      </x:c>
      <x:c r="U35" s="20" t="str">
        <x:v>https://eprints.whiterose.ac.uk/id/eprint/185301/</x:v>
      </x:c>
      <x:c r="V35" s="20" t="str">
        <x:v>2026-07-28</x:v>
      </x:c>
      <x:c r="W35" s="20" t="str">
        <x:v>真实生活/付费体验</x:v>
      </x:c>
      <x:c r="X35" s="23" t="n">
        <x:v>2</x:v>
      </x:c>
      <x:c r="Y35" s="23" t="n">
        <x:v>4</x:v>
      </x:c>
      <x:c r="Z35" s="23" t="n">
        <x:v>5</x:v>
      </x:c>
      <x:c r="AA35" s="20" t="str">
        <x:v>C 深度补充</x:v>
      </x:c>
      <x:c r="AB35" s="20" t="str">
        <x:v>社区/生活</x:v>
      </x:c>
      <x:c r="AC35" s="20" t="str">
        <x:v>赛博摄影|美食生活|复游客|首次经典</x:v>
      </x:c>
      <x:c r="AD35" s="20" t="str">
        <x:v>深度</x:v>
      </x:c>
      <x:c r="AE35" s="20" t="str">
        <x:v>真实社会空间但旅游化明显</x:v>
      </x:c>
      <x:c r="AF35" s="20" t="str">
        <x:v>真实社会空间但旅游化明显。从“老重庆滤镜”转向座位、熟客、消费和摄影权的社会规则</x:v>
      </x:c>
      <x:c r="AG35" s="20" t="str">
        <x:v>未取得店方拍摄与团队许可即删除</x:v>
      </x:c>
      <x:c r="AH35" s="23" t="n">
        <x:f>ROUND(I35*'参数字典'!$B$16+J35*'参数字典'!$B$17+X35*20*'参数字典'!$B$18+Y35*20*'参数字典'!$B$19+Z35*20*'参数字典'!$B$20,0)</x:f>
        <x:v>74</x:v>
      </x:c>
    </x:row>
    <x:row r="36" ht="56" customHeight="1">
      <x:c r="A36" s="20" t="str">
        <x:v>CQ031</x:v>
      </x:c>
      <x:c r="B36" s="20" t="str">
        <x:v>四川美术学院黄桷坪校区周边</x:v>
      </x:c>
      <x:c r="C36" s="20" t="str">
        <x:v>九龙坡</x:v>
      </x:c>
      <x:c r="D36" s="20" t="str">
        <x:v>D4B工业艺术</x:v>
      </x:c>
      <x:c r="E36" s="20" t="str">
        <x:v>学院/展览</x:v>
      </x:c>
      <x:c r="F36" s="20" t="str">
        <x:v>条件推荐</x:v>
      </x:c>
      <x:c r="G36" s="20" t="str">
        <x:v>艺术客群定向模块</x:v>
      </x:c>
      <x:c r="H36" s="20" t="str">
        <x:v>艺术专业/驻留/B2B</x:v>
      </x:c>
      <x:c r="I36" s="23" t="n">
        <x:v>77</x:v>
      </x:c>
      <x:c r="J36" s="23" t="n">
        <x:v>63</x:v>
      </x:c>
      <x:c r="K36" s="20" t="str">
        <x:v>C</x:v>
      </x:c>
      <x:c r="L36" s="23" t="n">
        <x:v>75</x:v>
      </x:c>
      <x:c r="M36" s="20" t="str">
        <x:v>有展览时</x:v>
      </x:c>
      <x:c r="N36" s="20" t="str">
        <x:v>黄桷坪步行</x:v>
      </x:c>
      <x:c r="O36" s="20" t="str">
        <x:v>校园进入与展览信息不稳定</x:v>
      </x:c>
      <x:c r="P36" s="20" t="str">
        <x:v>雨天优先展馆</x:v>
      </x:c>
      <x:c r="Q36" s="20" t="str">
        <x:v>校园管控、展期变化</x:v>
      </x:c>
      <x:c r="R36" s="20" t="str">
        <x:v>将学院史、四川画派和社区艺术联系起来，避免只拍校门</x:v>
      </x:c>
      <x:c r="S36" s="20" t="str">
        <x:v>只在有公开展览或校方合作时进入产品</x:v>
      </x:c>
      <x:c r="T36" s="20" t="str">
        <x:v>https://mzj.cq.gov.cn/sy_218/bmdt/mzyw/t_14233171.html</x:v>
      </x:c>
      <x:c r="U36" s="20" t="str">
        <x:v>https://ghzrzyj.cq.gov.cn/bsfw_186/dtfw/mzyt/202511/t20251124_15184222_wap.html</x:v>
      </x:c>
      <x:c r="V36" s="20" t="str">
        <x:v>2026-07-28</x:v>
      </x:c>
      <x:c r="W36" s="20" t="str">
        <x:v>真实生活</x:v>
      </x:c>
      <x:c r="X36" s="23" t="n">
        <x:v>2</x:v>
      </x:c>
      <x:c r="Y36" s="23" t="n">
        <x:v>2</x:v>
      </x:c>
      <x:c r="Z36" s="23" t="n">
        <x:v>2</x:v>
      </x:c>
      <x:c r="AA36" s="20" t="str">
        <x:v>C 深度补充</x:v>
      </x:c>
      <x:c r="AB36" s="20" t="str">
        <x:v>社区/生活</x:v>
      </x:c>
      <x:c r="AC36" s="20" t="str">
        <x:v>美食生活|复游客|首次经典</x:v>
      </x:c>
      <x:c r="AD36" s="20" t="str">
        <x:v>深度</x:v>
      </x:c>
      <x:c r="AE36" s="20" t="str">
        <x:v>艺术客群定向模块</x:v>
      </x:c>
      <x:c r="AF36" s="20" t="str">
        <x:v>艺术客群定向模块。将学院史、四川画派和社区艺术联系起来，避免只拍校门</x:v>
      </x:c>
      <x:c r="AG36" s="20" t="str">
        <x:v>校园管控、展期变化</x:v>
      </x:c>
      <x:c r="AH36" s="23" t="n">
        <x:f>ROUND(I36*'参数字典'!$B$16+J36*'参数字典'!$B$17+X36*20*'参数字典'!$B$18+Y36*20*'参数字典'!$B$19+Z36*20*'参数字典'!$B$20,0)</x:f>
        <x:v>51</x:v>
      </x:c>
    </x:row>
    <x:row r="37" ht="56" customHeight="1">
      <x:c r="A37" s="20" t="str">
        <x:v>CQ032</x:v>
      </x:c>
      <x:c r="B37" s="20" t="str">
        <x:v>重庆建川博物馆聚落</x:v>
      </x:c>
      <x:c r="C37" s="20" t="str">
        <x:v>九龙坡</x:v>
      </x:c>
      <x:c r="D37" s="20" t="str">
        <x:v>D4B工业艺术</x:v>
      </x:c>
      <x:c r="E37" s="20" t="str">
        <x:v>工业/战争博物馆</x:v>
      </x:c>
      <x:c r="F37" s="20" t="str">
        <x:v>深度推荐</x:v>
      </x:c>
      <x:c r="G37" s="20" t="str">
        <x:v>在防空洞与工业遗存中收束城市史</x:v>
      </x:c>
      <x:c r="H37" s="20" t="str">
        <x:v>历史/工业/亲子</x:v>
      </x:c>
      <x:c r="I37" s="23" t="n">
        <x:v>84</x:v>
      </x:c>
      <x:c r="J37" s="23" t="n">
        <x:v>80</x:v>
      </x:c>
      <x:c r="K37" s="20" t="str">
        <x:v>B</x:v>
      </x:c>
      <x:c r="L37" s="23" t="n">
        <x:v>150</x:v>
      </x:c>
      <x:c r="M37" s="20" t="str">
        <x:v>下午</x:v>
      </x:c>
      <x:c r="N37" s="20" t="str">
        <x:v>谢家湾+步行/车</x:v>
      </x:c>
      <x:c r="O37" s="20" t="str">
        <x:v>票务、英文与洞内动线待核验</x:v>
      </x:c>
      <x:c r="P37" s="20" t="str">
        <x:v>雨天核心</x:v>
      </x:c>
      <x:c r="Q37" s="20" t="str">
        <x:v>台阶、洞内温湿度、闭馆</x:v>
      </x:c>
      <x:c r="R37" s="20" t="str">
        <x:v>不是泛军事打卡；讲兵工、工业内迁与防空空间</x:v>
      </x:c>
      <x:c r="S37" s="20" t="str">
        <x:v>观察防空洞如何从生产/避难空间转为博物馆</x:v>
      </x:c>
      <x:c r="T37" s="20" t="str">
        <x:v>https://whlyw.cq.gov.cn/hdjl_221/xzzq/202601/t20260115_15320860.html</x:v>
      </x:c>
      <x:c r="U37" s="20" t="str">
        <x:v>https://www.cq.gov.cn/ywdt/zwhd/qxdt/202009/t20200907_8628081.html</x:v>
      </x:c>
      <x:c r="V37" s="20" t="str">
        <x:v>2026-07-28</x:v>
      </x:c>
      <x:c r="W37" s="20" t="str">
        <x:v>核心解释/付费体验</x:v>
      </x:c>
      <x:c r="X37" s="23" t="n">
        <x:v>3</x:v>
      </x:c>
      <x:c r="Y37" s="23" t="n">
        <x:v>4</x:v>
      </x:c>
      <x:c r="Z37" s="23" t="n">
        <x:v>5</x:v>
      </x:c>
      <x:c r="AA37" s="20" t="str">
        <x:v>B 按兴趣</x:v>
      </x:c>
      <x:c r="AB37" s="20" t="str">
        <x:v>博物馆/历史场馆</x:v>
      </x:c>
      <x:c r="AC37" s="20" t="str">
        <x:v>文化历史|亲子轻松|复游客|首次经典</x:v>
      </x:c>
      <x:c r="AD37" s="20" t="str">
        <x:v>标准|深度</x:v>
      </x:c>
      <x:c r="AE37" s="20" t="str">
        <x:v>在防空洞与工业遗存中收束城市史</x:v>
      </x:c>
      <x:c r="AF37" s="20" t="str">
        <x:v>在防空洞与工业遗存中收束城市史。不是泛军事打卡；讲兵工、工业内迁与防空空间</x:v>
      </x:c>
      <x:c r="AG37" s="20" t="str">
        <x:v>台阶、洞内温湿度、闭馆</x:v>
      </x:c>
      <x:c r="AH37" s="23" t="n">
        <x:f>ROUND(I37*'参数字典'!$B$16+J37*'参数字典'!$B$17+X37*20*'参数字典'!$B$18+Y37*20*'参数字典'!$B$19+Z37*20*'参数字典'!$B$20,0)</x:f>
        <x:v>80</x:v>
      </x:c>
    </x:row>
    <x:row r="38" ht="56" customHeight="1">
      <x:c r="A38" s="20" t="str">
        <x:v>CQ033</x:v>
      </x:c>
      <x:c r="B38" s="20" t="str">
        <x:v>皇冠大扶梯</x:v>
      </x:c>
      <x:c r="C38" s="20" t="str">
        <x:v>渝中</x:v>
      </x:c>
      <x:c r="D38" s="20" t="str">
        <x:v>可选交通</x:v>
      </x:c>
      <x:c r="E38" s="20" t="str">
        <x:v>坡地交通</x:v>
      </x:c>
      <x:c r="F38" s="20" t="str">
        <x:v>条件推荐</x:v>
      </x:c>
      <x:c r="G38" s="20" t="str">
        <x:v>短时体验垂直公共交通</x:v>
      </x:c>
      <x:c r="H38" s="20" t="str">
        <x:v>交通/亲子/摄影</x:v>
      </x:c>
      <x:c r="I38" s="23" t="n">
        <x:v>79</x:v>
      </x:c>
      <x:c r="J38" s="23" t="n">
        <x:v>76</x:v>
      </x:c>
      <x:c r="K38" s="20" t="str">
        <x:v>B</x:v>
      </x:c>
      <x:c r="L38" s="23" t="n">
        <x:v>15</x:v>
      </x:c>
      <x:c r="M38" s="20" t="str">
        <x:v>08:00—20:00参考</x:v>
      </x:c>
      <x:c r="N38" s="20" t="str">
        <x:v>两路口—菜园坝</x:v>
      </x:c>
      <x:c r="O38" s="20" t="str">
        <x:v>速度快；不能转身拍摄</x:v>
      </x:c>
      <x:c r="P38" s="20" t="str">
        <x:v>雨天可</x:v>
      </x:c>
      <x:c r="Q38" s="20" t="str">
        <x:v>维护、节假日时段变化</x:v>
      </x:c>
      <x:c r="R38" s="20" t="str">
        <x:v>不是游乐设施；讲火车站时代的垂直换乘</x:v>
      </x:c>
      <x:c r="S38" s="20" t="str">
        <x:v>安全站立，观察上下端如何接入城市道路</x:v>
      </x:c>
      <x:c r="T38" s="20" t="str">
        <x:v>https://cq.gov.cn/ywdt/bmts/202505/t20250529_14669045.html</x:v>
      </x:c>
      <x:c r="U38" s="20" t="str">
        <x:v>https://www.shplanning.com.cn/archive/download/id/487.html</x:v>
      </x:c>
      <x:c r="V38" s="20" t="str">
        <x:v>2026-07-28</x:v>
      </x:c>
      <x:c r="W38" s="20" t="str">
        <x:v>引流钩子</x:v>
      </x:c>
      <x:c r="X38" s="23" t="n">
        <x:v>4</x:v>
      </x:c>
      <x:c r="Y38" s="23" t="n">
        <x:v>2</x:v>
      </x:c>
      <x:c r="Z38" s="23" t="n">
        <x:v>2</x:v>
      </x:c>
      <x:c r="AA38" s="20" t="str">
        <x:v>C 深度补充</x:v>
      </x:c>
      <x:c r="AB38" s="20" t="str">
        <x:v>交通奇观</x:v>
      </x:c>
      <x:c r="AC38" s="20" t="str">
        <x:v>赛博摄影|亲子轻松|首次经典</x:v>
      </x:c>
      <x:c r="AD38" s="20" t="str">
        <x:v>深度</x:v>
      </x:c>
      <x:c r="AE38" s="20" t="str">
        <x:v>短时体验垂直公共交通</x:v>
      </x:c>
      <x:c r="AF38" s="20" t="str">
        <x:v>短时体验垂直公共交通。不是游乐设施；讲火车站时代的垂直换乘</x:v>
      </x:c>
      <x:c r="AG38" s="20" t="str">
        <x:v>维护、节假日时段变化</x:v>
      </x:c>
      <x:c r="AH38" s="23" t="n">
        <x:f>ROUND(I38*'参数字典'!$B$16+J38*'参数字典'!$B$17+X38*20*'参数字典'!$B$18+Y38*20*'参数字典'!$B$19+Z38*20*'参数字典'!$B$20,0)</x:f>
        <x:v>61</x:v>
      </x:c>
    </x:row>
    <x:row r="39" ht="56" customHeight="1">
      <x:c r="A39" s="20" t="str">
        <x:v>CQ034</x:v>
      </x:c>
      <x:c r="B39" s="20" t="str">
        <x:v>长江索道</x:v>
      </x:c>
      <x:c r="C39" s="20" t="str">
        <x:v>渝中—南岸</x:v>
      </x:c>
      <x:c r="D39" s="20" t="str">
        <x:v>可选交通</x:v>
      </x:c>
      <x:c r="E39" s="20" t="str">
        <x:v>跨江交通/景区</x:v>
      </x:c>
      <x:c r="F39" s="20" t="str">
        <x:v>条件推荐</x:v>
      </x:c>
      <x:c r="G39" s="20" t="str">
        <x:v>排队低于阈值才使用</x:v>
      </x:c>
      <x:c r="H39" s="20" t="str">
        <x:v>首次来渝/亲子</x:v>
      </x:c>
      <x:c r="I39" s="23" t="n">
        <x:v>69</x:v>
      </x:c>
      <x:c r="J39" s="23" t="n">
        <x:v>85</x:v>
      </x:c>
      <x:c r="K39" s="20" t="str">
        <x:v>A</x:v>
      </x:c>
      <x:c r="L39" s="23" t="n">
        <x:v>25</x:v>
      </x:c>
      <x:c r="M39" s="20" t="str">
        <x:v>开门或晚间低峰</x:v>
      </x:c>
      <x:c r="N39" s="20" t="str">
        <x:v>新华路/上新街</x:v>
      </x:c>
      <x:c r="O39" s="20" t="str">
        <x:v>取号排队、停运、证件规则</x:v>
      </x:c>
      <x:c r="P39" s="20" t="str">
        <x:v>雨天视风力</x:v>
      </x:c>
      <x:c r="Q39" s="20" t="str">
        <x:v>月度维护、排队常态</x:v>
      </x:c>
      <x:c r="R39" s="20" t="str">
        <x:v>索道曾是公共交通；今天的体验价值取决于排队成本</x:v>
      </x:c>
      <x:c r="S39" s="20" t="str">
        <x:v>设30分钟阈值，超过就改东水门桥/轨道</x:v>
      </x:c>
      <x:c r="T39" s="20" t="str">
        <x:v>https://www.cqsuodao.com/zhangjiangsuodao.html</x:v>
      </x:c>
      <x:c r="U39" s="20" t="str">
        <x:v>https://cq.gov.cn/ywdt/bmts/202505/t20250529_14669045.html</x:v>
      </x:c>
      <x:c r="V39" s="20" t="str">
        <x:v>2026-07-28</x:v>
      </x:c>
      <x:c r="W39" s="20" t="str">
        <x:v>引流钩子</x:v>
      </x:c>
      <x:c r="X39" s="23" t="n">
        <x:v>5</x:v>
      </x:c>
      <x:c r="Y39" s="23" t="n">
        <x:v>4</x:v>
      </x:c>
      <x:c r="Z39" s="23" t="n">
        <x:v>4</x:v>
      </x:c>
      <x:c r="AA39" s="20" t="str">
        <x:v>B 按兴趣</x:v>
      </x:c>
      <x:c r="AB39" s="20" t="str">
        <x:v>夜景/观景</x:v>
      </x:c>
      <x:c r="AC39" s="20" t="str">
        <x:v>赛博摄影|亲子轻松|首次经典</x:v>
      </x:c>
      <x:c r="AD39" s="20" t="str">
        <x:v>标准|深度</x:v>
      </x:c>
      <x:c r="AE39" s="20" t="str">
        <x:v>排队低于阈值才使用</x:v>
      </x:c>
      <x:c r="AF39" s="20" t="str">
        <x:v>排队低于阈值才使用。索道曾是公共交通；今天的体验价值取决于排队成本</x:v>
      </x:c>
      <x:c r="AG39" s="20" t="str">
        <x:v>月度维护、排队常态</x:v>
      </x:c>
      <x:c r="AH39" s="23" t="n">
        <x:f>ROUND(I39*'参数字典'!$B$16+J39*'参数字典'!$B$17+X39*20*'参数字典'!$B$18+Y39*20*'参数字典'!$B$19+Z39*20*'参数字典'!$B$20,0)</x:f>
        <x:v>83</x:v>
      </x:c>
    </x:row>
    <x:row r="40" ht="56" customHeight="1">
      <x:c r="A40" s="20" t="str">
        <x:v>CQ035</x:v>
      </x:c>
      <x:c r="B40" s="20" t="str">
        <x:v>重庆两江游</x:v>
      </x:c>
      <x:c r="C40" s="20" t="str">
        <x:v>渝中码头</x:v>
      </x:c>
      <x:c r="D40" s="20" t="str">
        <x:v>可选夜游</x:v>
      </x:c>
      <x:c r="E40" s="20" t="str">
        <x:v>游船夜景</x:v>
      </x:c>
      <x:c r="F40" s="20" t="str">
        <x:v>不进默认</x:v>
      </x:c>
      <x:c r="G40" s="20" t="str">
        <x:v>低体力夜景替代</x:v>
      </x:c>
      <x:c r="H40" s="20" t="str">
        <x:v>低体力/亲子/团队</x:v>
      </x:c>
      <x:c r="I40" s="23" t="n">
        <x:v>57</x:v>
      </x:c>
      <x:c r="J40" s="23" t="n">
        <x:v>80</x:v>
      </x:c>
      <x:c r="K40" s="20" t="str">
        <x:v>B</x:v>
      </x:c>
      <x:c r="L40" s="23" t="n">
        <x:v>75</x:v>
      </x:c>
      <x:c r="M40" s="20" t="str">
        <x:v>夜间</x:v>
      </x:c>
      <x:c r="N40" s="20" t="str">
        <x:v>朝天门片区码头</x:v>
      </x:c>
      <x:c r="O40" s="20" t="str">
        <x:v>码头、船型和票种混淆</x:v>
      </x:c>
      <x:c r="P40" s="20" t="str">
        <x:v>雨天视船方</x:v>
      </x:c>
      <x:c r="Q40" s="20" t="str">
        <x:v>营销票种、能见度、拥挤</x:v>
      </x:c>
      <x:c r="R40" s="20" t="str">
        <x:v>不是“必去”；其价值是低体力连续看两岸，不是文化深度</x:v>
      </x:c>
      <x:c r="S40" s="20" t="str">
        <x:v>比较步行夜景与船上视角的取舍</x:v>
      </x:c>
      <x:c r="T40" s="20" t="str">
        <x:v>https://cq.gov.cn/zwgk/zfxxgkml/zdlyxxgk/ggwh/ly/zxdt/202603/t20260304_15487802.html</x:v>
      </x:c>
      <x:c r="U40" s="20" t="str">
        <x:v>https://www.cq.gov.cn/ywdt/jrcq/202605/t20260531_15716501_app.html</x:v>
      </x:c>
      <x:c r="V40" s="20" t="str">
        <x:v>2026-07-28</x:v>
      </x:c>
      <x:c r="W40" s="20" t="str">
        <x:v>引流钩子/付费体验</x:v>
      </x:c>
      <x:c r="X40" s="23" t="n">
        <x:v>5</x:v>
      </x:c>
      <x:c r="Y40" s="23" t="n">
        <x:v>4</x:v>
      </x:c>
      <x:c r="Z40" s="23" t="n">
        <x:v>4</x:v>
      </x:c>
      <x:c r="AA40" s="20" t="str">
        <x:v>X 默认不输出</x:v>
      </x:c>
      <x:c r="AB40" s="20" t="str">
        <x:v>夜景/观景</x:v>
      </x:c>
      <x:c r="AC40" s="20" t="str">
        <x:v>赛博摄影|亲子轻松|首次经典</x:v>
      </x:c>
      <x:c r="AD40" s="20" t="str">
        <x:v>仅定向</x:v>
      </x:c>
      <x:c r="AE40" s="20" t="str">
        <x:v>低体力夜景替代</x:v>
      </x:c>
      <x:c r="AF40" s="20" t="str">
        <x:v>低体力夜景替代。不是“必去”；其价值是低体力连续看两岸，不是文化深度</x:v>
      </x:c>
      <x:c r="AG40" s="20" t="str">
        <x:v>只有低体力或团队夜景需求时使用</x:v>
      </x:c>
      <x:c r="AH40" s="23" t="n">
        <x:f>ROUND(I40*'参数字典'!$B$16+J40*'参数字典'!$B$17+X40*20*'参数字典'!$B$18+Y40*20*'参数字典'!$B$19+Z40*20*'参数字典'!$B$20,0)</x:f>
        <x:v>79</x:v>
      </x:c>
    </x:row>
    <x:row r="41" ht="56" customHeight="1">
      <x:c r="A41" s="20" t="str">
        <x:v>CQ036</x:v>
      </x:c>
      <x:c r="B41" s="20" t="str">
        <x:v>磁器口古镇</x:v>
      </x:c>
      <x:c r="C41" s="20" t="str">
        <x:v>沙坪坝</x:v>
      </x:c>
      <x:c r="D41" s="20" t="str">
        <x:v>可选街区</x:v>
      </x:c>
      <x:c r="E41" s="20" t="str">
        <x:v>古镇/商业</x:v>
      </x:c>
      <x:c r="F41" s="20" t="str">
        <x:v>不进默认</x:v>
      </x:c>
      <x:c r="G41" s="20" t="str">
        <x:v>早晨定向非遗或亲子模块</x:v>
      </x:c>
      <x:c r="H41" s="20" t="str">
        <x:v>亲子/首次来渝/购物</x:v>
      </x:c>
      <x:c r="I41" s="23" t="n">
        <x:v>72</x:v>
      </x:c>
      <x:c r="J41" s="23" t="n">
        <x:v>81</x:v>
      </x:c>
      <x:c r="K41" s="20" t="str">
        <x:v>B</x:v>
      </x:c>
      <x:c r="L41" s="23" t="n">
        <x:v>90</x:v>
      </x:c>
      <x:c r="M41" s="20" t="str">
        <x:v>开门后1小时内</x:v>
      </x:c>
      <x:c r="N41" s="20" t="str">
        <x:v>磁器口站</x:v>
      </x:c>
      <x:c r="O41" s="20" t="str">
        <x:v>主街英语尚可；深层内容需讲解</x:v>
      </x:c>
      <x:c r="P41" s="20" t="str">
        <x:v>雨天可</x:v>
      </x:c>
      <x:c r="Q41" s="20" t="str">
        <x:v>节假日极拥挤、主街同质</x:v>
      </x:c>
      <x:c r="R41" s="20" t="str">
        <x:v>文化价值存在，但默认4天跨区成本过高；只做定向主题</x:v>
      </x:c>
      <x:c r="S41" s="20" t="str">
        <x:v>避开主街消费动线，确认可体验的非遗点</x:v>
      </x:c>
      <x:c r="T41" s="20" t="str">
        <x:v>https://ghzrzyj.cq.gov.cn/bsfw_186/dtfw/mzyt/202511/t20251124_15184222_wap.html</x:v>
      </x:c>
      <x:c r="U41" s="20" t="str">
        <x:v>https://www.reddit.com/r/travelchina/comments/1v4olqp/thoughts_on_my_chongqing_itinerary/</x:v>
      </x:c>
      <x:c r="V41" s="20" t="str">
        <x:v>2026-07-28</x:v>
      </x:c>
      <x:c r="W41" s="20" t="str">
        <x:v>真实生活</x:v>
      </x:c>
      <x:c r="X41" s="23" t="n">
        <x:v>3</x:v>
      </x:c>
      <x:c r="Y41" s="23" t="n">
        <x:v>2</x:v>
      </x:c>
      <x:c r="Z41" s="23" t="n">
        <x:v>2</x:v>
      </x:c>
      <x:c r="AA41" s="20" t="str">
        <x:v>X 默认不输出</x:v>
      </x:c>
      <x:c r="AB41" s="20" t="str">
        <x:v>更新街区/老街</x:v>
      </x:c>
      <x:c r="AC41" s="20" t="str">
        <x:v>美食生活|亲子轻松|复游客|首次经典</x:v>
      </x:c>
      <x:c r="AD41" s="20" t="str">
        <x:v>仅定向</x:v>
      </x:c>
      <x:c r="AE41" s="20" t="str">
        <x:v>早晨定向非遗或亲子模块</x:v>
      </x:c>
      <x:c r="AF41" s="20" t="str">
        <x:v>早晨定向非遗或亲子模块。文化价值存在，但默认4天跨区成本过高；只做定向主题</x:v>
      </x:c>
      <x:c r="AG41" s="20" t="str">
        <x:v>与其他商业街重复时优先删除</x:v>
      </x:c>
      <x:c r="AH41" s="23" t="n">
        <x:f>ROUND(I41*'参数字典'!$B$16+J41*'参数字典'!$B$17+X41*20*'参数字典'!$B$18+Y41*20*'参数字典'!$B$19+Z41*20*'参数字典'!$B$20,0)</x:f>
        <x:v>57</x:v>
      </x:c>
    </x:row>
    <x:row r="42" ht="56" customHeight="1">
      <x:c r="A42" s="20" t="str">
        <x:v>CQ037</x:v>
      </x:c>
      <x:c r="B42" s="20" t="str">
        <x:v>观音桥夜间消费区</x:v>
      </x:c>
      <x:c r="C42" s="20" t="str">
        <x:v>江北</x:v>
      </x:c>
      <x:c r="D42" s="20" t="str">
        <x:v>可选夜生活</x:v>
      </x:c>
      <x:c r="E42" s="20" t="str">
        <x:v>本地商业/夜生活</x:v>
      </x:c>
      <x:c r="F42" s="20" t="str">
        <x:v>条件推荐</x:v>
      </x:c>
      <x:c r="G42" s="20" t="str">
        <x:v>观察本地年轻消费而非历史</x:v>
      </x:c>
      <x:c r="H42" s="20" t="str">
        <x:v>年轻游客/夜生活/食物</x:v>
      </x:c>
      <x:c r="I42" s="23" t="n">
        <x:v>64</x:v>
      </x:c>
      <x:c r="J42" s="23" t="n">
        <x:v>68</x:v>
      </x:c>
      <x:c r="K42" s="20" t="str">
        <x:v>C</x:v>
      </x:c>
      <x:c r="L42" s="23" t="n">
        <x:v>120</x:v>
      </x:c>
      <x:c r="M42" s="20" t="str">
        <x:v>晚餐后</x:v>
      </x:c>
      <x:c r="N42" s="20" t="str">
        <x:v>观音桥站</x:v>
      </x:c>
      <x:c r="O42" s="20" t="str">
        <x:v>晚间英语不稳定</x:v>
      </x:c>
      <x:c r="P42" s="20" t="str">
        <x:v>雨天转商场</x:v>
      </x:c>
      <x:c r="Q42" s="20" t="str">
        <x:v>拥挤、噪音、晚归</x:v>
      </x:c>
      <x:c r="R42" s="20" t="str">
        <x:v>作为“游客中心之外的当代重庆”，不伪装成深历史</x:v>
      </x:c>
      <x:c r="S42" s="20" t="str">
        <x:v>观察商圈、夜市、办公与居住人流混合</x:v>
      </x:c>
      <x:c r="T42" s="20" t="str">
        <x:v>https://www.reddit.com/r/travelchina/comments/1o74mfa/trip_report_for_chongqing_4_night_stay/</x:v>
      </x:c>
      <x:c r="U42" s="20" t="str">
        <x:v>https://www.cqyz.gov.cn/bm_229/qwhlyw/zwxx_97154/dt/202606/t20260605_15733979.html</x:v>
      </x:c>
      <x:c r="V42" s="20" t="str">
        <x:v>2026-07-28</x:v>
      </x:c>
      <x:c r="W42" s="20" t="str">
        <x:v>真实生活</x:v>
      </x:c>
      <x:c r="X42" s="23" t="n">
        <x:v>3</x:v>
      </x:c>
      <x:c r="Y42" s="23" t="n">
        <x:v>4</x:v>
      </x:c>
      <x:c r="Z42" s="23" t="n">
        <x:v>4</x:v>
      </x:c>
      <x:c r="AA42" s="20" t="str">
        <x:v>C 深度补充</x:v>
      </x:c>
      <x:c r="AB42" s="20" t="str">
        <x:v>社区/生活</x:v>
      </x:c>
      <x:c r="AC42" s="20" t="str">
        <x:v>文化历史|美食生活|复游客|首次经典</x:v>
      </x:c>
      <x:c r="AD42" s="20" t="str">
        <x:v>深度</x:v>
      </x:c>
      <x:c r="AE42" s="20" t="str">
        <x:v>观察本地年轻消费而非历史</x:v>
      </x:c>
      <x:c r="AF42" s="20" t="str">
        <x:v>观察本地年轻消费而非历史。作为“游客中心之外的当代重庆”，不伪装成深历史</x:v>
      </x:c>
      <x:c r="AG42" s="20" t="str">
        <x:v>拥挤、噪音、晚归</x:v>
      </x:c>
      <x:c r="AH42" s="23" t="n">
        <x:f>ROUND(I42*'参数字典'!$B$16+J42*'参数字典'!$B$17+X42*20*'参数字典'!$B$18+Y42*20*'参数字典'!$B$19+Z42*20*'参数字典'!$B$20,0)</x:f>
        <x:v>71</x:v>
      </x:c>
    </x:row>
    <x:row r="43" ht="56" customHeight="1">
      <x:c r="A43" s="20" t="str">
        <x:v>CQ038</x:v>
      </x:c>
      <x:c r="B43" s="20" t="str">
        <x:v>社区型重庆火锅体验</x:v>
      </x:c>
      <x:c r="C43" s="20" t="str">
        <x:v>主城多区</x:v>
      </x:c>
      <x:c r="D43" s="20" t="str">
        <x:v>食物体验</x:v>
      </x:c>
      <x:c r="E43" s="20" t="str">
        <x:v>饮食/社交</x:v>
      </x:c>
      <x:c r="F43" s="20" t="str">
        <x:v>必去核心</x:v>
      </x:c>
      <x:c r="G43" s="20" t="str">
        <x:v>从餐厅推荐升级为点菜与文化解释</x:v>
      </x:c>
      <x:c r="H43" s="20" t="str">
        <x:v>全部客群/小团</x:v>
      </x:c>
      <x:c r="I43" s="23" t="n">
        <x:v>82</x:v>
      </x:c>
      <x:c r="J43" s="23" t="n">
        <x:v>85</x:v>
      </x:c>
      <x:c r="K43" s="20" t="str">
        <x:v>A</x:v>
      </x:c>
      <x:c r="L43" s="23" t="n">
        <x:v>150</x:v>
      </x:c>
      <x:c r="M43" s="20" t="str">
        <x:v>晚餐</x:v>
      </x:c>
      <x:c r="N43" s="20" t="str">
        <x:v>步行优先</x:v>
      </x:c>
      <x:c r="O43" s="20" t="str">
        <x:v>辣度、内脏、过敏、素食、英语</x:v>
      </x:c>
      <x:c r="P43" s="20" t="str">
        <x:v>雨天核心</x:v>
      </x:c>
      <x:c r="Q43" s="20" t="str">
        <x:v>食品安全、责任、取消</x:v>
      </x:c>
      <x:c r="R43" s="20" t="str">
        <x:v>火锅是共享秩序：锅底、油碟、下菜顺序、共同用餐与地方身份</x:v>
      </x:c>
      <x:c r="S43" s="20" t="str">
        <x:v>让游客完成一次点菜而不是只吃套餐</x:v>
      </x:c>
      <x:c r="T43" s="20" t="str">
        <x:v>https://whlyw.cq.gov.cn/zjwl/szq/zqms/202411/t20241111_13787035.html</x:v>
      </x:c>
      <x:c r="U43" s="20" t="str">
        <x:v>https://whlyw.cq.gov.cn/zwgk_221/zfgkzcwj/qtwj/202607/t20260709_15810099.html</x:v>
      </x:c>
      <x:c r="V43" s="20" t="str">
        <x:v>2026-07-28</x:v>
      </x:c>
      <x:c r="W43" s="20" t="str">
        <x:v>付费体验</x:v>
      </x:c>
      <x:c r="X43" s="23" t="n">
        <x:v>4</x:v>
      </x:c>
      <x:c r="Y43" s="23" t="n">
        <x:v>5</x:v>
      </x:c>
      <x:c r="Z43" s="23" t="n">
        <x:v>5</x:v>
      </x:c>
      <x:c r="AA43" s="20" t="str">
        <x:v>A 必须</x:v>
      </x:c>
      <x:c r="AB43" s="20" t="str">
        <x:v>食物体验</x:v>
      </x:c>
      <x:c r="AC43" s="20" t="str">
        <x:v>美食生活|首次经典</x:v>
      </x:c>
      <x:c r="AD43" s="20" t="str">
        <x:v>精简|标准|深度</x:v>
      </x:c>
      <x:c r="AE43" s="20" t="str">
        <x:v>从餐厅推荐升级为点菜与文化解释</x:v>
      </x:c>
      <x:c r="AF43" s="20" t="str">
        <x:v>从餐厅推荐升级为点菜与文化解释。火锅是共享秩序：锅底、油碟、下菜顺序、共同用餐与地方身份</x:v>
      </x:c>
      <x:c r="AG43" s="20" t="str">
        <x:v>无双语点菜、辣度、过敏和取消规则不得收费</x:v>
      </x:c>
      <x:c r="AH43" s="23" t="n">
        <x:f>ROUND(I43*'参数字典'!$B$16+J43*'参数字典'!$B$17+X43*20*'参数字典'!$B$18+Y43*20*'参数字典'!$B$19+Z43*20*'参数字典'!$B$20,0)</x:f>
        <x:v>90</x:v>
      </x:c>
    </x:row>
    <x:row r="44" ht="56" customHeight="1">
      <x:c r="A44" s="20" t="str">
        <x:v>CQ039</x:v>
      </x:c>
      <x:c r="B44" s="20" t="str">
        <x:v>重庆小面早餐</x:v>
      </x:c>
      <x:c r="C44" s="20" t="str">
        <x:v>主城多区</x:v>
      </x:c>
      <x:c r="D44" s="20" t="str">
        <x:v>食物体验</x:v>
      </x:c>
      <x:c r="E44" s="20" t="str">
        <x:v>早餐/日常</x:v>
      </x:c>
      <x:c r="F44" s="20" t="str">
        <x:v>深度推荐</x:v>
      </x:c>
      <x:c r="G44" s="20" t="str">
        <x:v>低成本进入本地日常</x:v>
      </x:c>
      <x:c r="H44" s="20" t="str">
        <x:v>全部客群/背包客</x:v>
      </x:c>
      <x:c r="I44" s="23" t="n">
        <x:v>76</x:v>
      </x:c>
      <x:c r="J44" s="23" t="n">
        <x:v>68</x:v>
      </x:c>
      <x:c r="K44" s="20" t="str">
        <x:v>C</x:v>
      </x:c>
      <x:c r="L44" s="23" t="n">
        <x:v>40</x:v>
      </x:c>
      <x:c r="M44" s="20" t="str">
        <x:v>07:30—09:30</x:v>
      </x:c>
      <x:c r="N44" s="20" t="str">
        <x:v>住宿地步行</x:v>
      </x:c>
      <x:c r="O44" s="20" t="str">
        <x:v>菜单、辣度、调料和座位规则</x:v>
      </x:c>
      <x:c r="P44" s="20" t="str">
        <x:v>雨天核心</x:v>
      </x:c>
      <x:c r="Q44" s="20" t="str">
        <x:v>卫生差异、现金/扫码</x:v>
      </x:c>
      <x:c r="R44" s="20" t="str">
        <x:v>不要追“网红第一名”；讲二两三两、干溜汤面与调料自定义</x:v>
      </x:c>
      <x:c r="S44" s="20" t="str">
        <x:v>用中文点菜卡完成独立下单</x:v>
      </x:c>
      <x:c r="T44" s="20" t="str">
        <x:v>https://whlyw.cq.gov.cn/zwgk_221/zfgkzcwj/qtwj/202607/t20260709_15810099.html</x:v>
      </x:c>
      <x:c r="U44" s="20" t="str">
        <x:v>https://www.reddit.com/r/travelchina/comments/1o74mfa/trip_report_for_chongqing_4_night_stay/</x:v>
      </x:c>
      <x:c r="V44" s="20" t="str">
        <x:v>2026-07-28</x:v>
      </x:c>
      <x:c r="W44" s="20" t="str">
        <x:v>真实生活</x:v>
      </x:c>
      <x:c r="X44" s="23" t="n">
        <x:v>3</x:v>
      </x:c>
      <x:c r="Y44" s="23" t="n">
        <x:v>5</x:v>
      </x:c>
      <x:c r="Z44" s="23" t="n">
        <x:v>4</x:v>
      </x:c>
      <x:c r="AA44" s="20" t="str">
        <x:v>B 按兴趣</x:v>
      </x:c>
      <x:c r="AB44" s="20" t="str">
        <x:v>食物体验</x:v>
      </x:c>
      <x:c r="AC44" s="20" t="str">
        <x:v>美食生活|复游客|首次经典</x:v>
      </x:c>
      <x:c r="AD44" s="20" t="str">
        <x:v>标准|深度</x:v>
      </x:c>
      <x:c r="AE44" s="20" t="str">
        <x:v>低成本进入本地日常</x:v>
      </x:c>
      <x:c r="AF44" s="20" t="str">
        <x:v>低成本进入本地日常。不要追“网红第一名”；讲二两三两、干溜汤面与调料自定义</x:v>
      </x:c>
      <x:c r="AG44" s="20" t="str">
        <x:v>卫生差异、现金/扫码</x:v>
      </x:c>
      <x:c r="AH44" s="23" t="n">
        <x:f>ROUND(I44*'参数字典'!$B$16+J44*'参数字典'!$B$17+X44*20*'参数字典'!$B$18+Y44*20*'参数字典'!$B$19+Z44*20*'参数字典'!$B$20,0)</x:f>
        <x:v>79</x:v>
      </x:c>
    </x:row>
    <x:row r="45" ht="56" customHeight="1">
      <x:c r="A45" s="21" t="str">
        <x:v>CQ040</x:v>
      </x:c>
      <x:c r="B45" s="21" t="str">
        <x:v>川剧/地方表演体验</x:v>
      </x:c>
      <x:c r="C45" s="21" t="str">
        <x:v>主城</x:v>
      </x:c>
      <x:c r="D45" s="21" t="str">
        <x:v>夜间/雨天</x:v>
      </x:c>
      <x:c r="E45" s="21" t="str">
        <x:v>表演/非遗</x:v>
      </x:c>
      <x:c r="F45" s="21" t="str">
        <x:v>条件推荐</x:v>
      </x:c>
      <x:c r="G45" s="21" t="str">
        <x:v>需要英文解释与互动才能卖高价</x:v>
      </x:c>
      <x:c r="H45" s="21" t="str">
        <x:v>亲子/文化/小团</x:v>
      </x:c>
      <x:c r="I45" s="24" t="n">
        <x:v>75</x:v>
      </x:c>
      <x:c r="J45" s="24" t="n">
        <x:v>80</x:v>
      </x:c>
      <x:c r="K45" s="21" t="str">
        <x:v>B</x:v>
      </x:c>
      <x:c r="L45" s="24" t="n">
        <x:v>90</x:v>
      </x:c>
      <x:c r="M45" s="21" t="str">
        <x:v>按演出</x:v>
      </x:c>
      <x:c r="N45" s="21" t="str">
        <x:v>轨道+短程车</x:v>
      </x:c>
      <x:c r="O45" s="21" t="str">
        <x:v>演出质量、英文、座位、拍摄规则</x:v>
      </x:c>
      <x:c r="P45" s="21" t="str">
        <x:v>雨天核心</x:v>
      </x:c>
      <x:c r="Q45" s="21" t="str">
        <x:v>变脸拼盘化、退改</x:v>
      </x:c>
      <x:c r="R45" s="21" t="str">
        <x:v>从“变脸奇观”升级到唱腔、锣鼓、角色和后台互动</x:v>
      </x:c>
      <x:c r="S45" s="21" t="str">
        <x:v>至少有演前导读或演后交流，否则不进深度产品</x:v>
      </x:c>
      <x:c r="T45" s="21" t="str">
        <x:v>https://whlyw.cq.gov.cn/hdjl_221/xzzq/202601/t20260115_15320860.html</x:v>
      </x:c>
      <x:c r="U45" s="21" t="str">
        <x:v>https://whlyw.cq.gov.cn/zwgk_221/zfgkzcwj/qtwj/202607/t20260709_15810099.html</x:v>
      </x:c>
      <x:c r="V45" s="21" t="str">
        <x:v>2026-07-28</x:v>
      </x:c>
      <x:c r="W45" s="21" t="str">
        <x:v>付费体验</x:v>
      </x:c>
      <x:c r="X45" s="24" t="n">
        <x:v>3</x:v>
      </x:c>
      <x:c r="Y45" s="24" t="n">
        <x:v>4</x:v>
      </x:c>
      <x:c r="Z45" s="24" t="n">
        <x:v>5</x:v>
      </x:c>
      <x:c r="AA45" s="21" t="str">
        <x:v>B 按兴趣</x:v>
      </x:c>
      <x:c r="AB45" s="21" t="str">
        <x:v>独立主题</x:v>
      </x:c>
      <x:c r="AC45" s="21" t="str">
        <x:v>亲子轻松|首次经典</x:v>
      </x:c>
      <x:c r="AD45" s="21" t="str">
        <x:v>标准|深度</x:v>
      </x:c>
      <x:c r="AE45" s="21" t="str">
        <x:v>需要英文解释与互动才能卖高价</x:v>
      </x:c>
      <x:c r="AF45" s="21" t="str">
        <x:v>需要英文解释与互动才能卖高价。从“变脸奇观”升级到唱腔、锣鼓、角色和后台互动</x:v>
      </x:c>
      <x:c r="AG45" s="21" t="str">
        <x:v>无英文解释或互动环节不得作为深度产品</x:v>
      </x:c>
      <x:c r="AH45" s="24" t="n">
        <x:f>ROUND(I45*'参数字典'!$B$16+J45*'参数字典'!$B$17+X45*20*'参数字典'!$B$18+Y45*20*'参数字典'!$B$19+Z45*20*'参数字典'!$B$20,0)</x:f>
        <x:v>78</x:v>
      </x:c>
    </x:row>
  </x:sheetData>
  <x:mergeCells>
    <x:mergeCell ref="A1:AH1"/>
    <x:mergeCell ref="A2:AH2"/>
  </x:mergeCells>
  <x:conditionalFormatting sqref="X6:Z45">
    <x:cfRule type="colorScale" priority="1">
      <x:colorScale>
        <x:cfvo type="min"/>
        <x:cfvo type="percentile" val="50"/>
        <x:cfvo type="max"/>
        <x:color rgb="FFFBE5E5"/>
        <x:color rgb="FFFFF1D6"/>
        <x:color rgb="FFE3F1EA"/>
      </x:colorScale>
    </x:cfRule>
  </x:conditionalFormatting>
  <x:conditionalFormatting sqref="AH6:AH45">
    <x:cfRule type="dataBar" priority="2">
      <x:dataBar>
        <x:cfvo type="min"/>
        <x:cfvo type="max"/>
        <x:color rgb="FF2E7D72"/>
      </x:dataBar>
      <x:extLst>
        <x:ext xmlns:x14="http://schemas.microsoft.com/office/spreadsheetml/2009/9/main" uri="{B025F937-C7B1-47D3-B67F-A62EFF666E3E}">
          <x14:id>{24172C27-D01B-9985-CFB3-9EBD4182D9C1}</x14:id>
        </x:ext>
      </x:extLst>
    </x:cfRule>
  </x:conditionalFormatting>
  <x:dataValidations count="1">
    <x:dataValidation type="list" sqref="AA6:AA45">
      <x:formula1>"A 必须,B 按兴趣,C 深度补充,X 默认不输出"</x:formula1>
    </x:dataValidation>
  </x:dataValidations>
  <x:pageMargins left="0.7" right="0.7" top="0.75" bottom="0.75" header="0.3" footer="0.3"/>
  <x:tableParts count="1">
    <x:tablePart xmlns:r="http://schemas.openxmlformats.org/officeDocument/2006/relationships" r:id="R197722174b524623"/>
  </x:tableParts>
  <x:extLst>
    <x:ext xmlns:x14="http://schemas.microsoft.com/office/spreadsheetml/2009/9/main" xmlns:xm="http://schemas.microsoft.com/office/excel/2006/main" uri="{78C0D931-6437-407d-A8EE-F0AAD7539E65}">
      <x14:conditionalFormattings>
        <x14:conditionalFormatting>
          <x14:cfRule type="dataBar" priority="2" id="{24172C27-D01B-9985-CFB3-9EBD4182D9C1}">
            <x14:dataBar gradient="1">
              <x14:cfvo type="min"/>
              <x14:cfvo type="max"/>
              <x14:fillColor rgb="FF2E7D72"/>
            </x14:dataBar>
          </x14:cfRule>
          <xm:sqref>AH6:AH45</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5" hidden="0" customWidth="1"/>
    <x:col min="4" max="4" width="31" hidden="0" customWidth="1"/>
    <x:col min="5" max="5" width="39" hidden="0" customWidth="1"/>
    <x:col min="6" max="6" width="34" hidden="0" customWidth="1"/>
    <x:col min="7" max="7" width="32" hidden="0" customWidth="1"/>
    <x:col min="8" max="8" width="13" hidden="0" customWidth="1"/>
    <x:col min="9" max="9" width="32" hidden="0" customWidth="1"/>
    <x:col min="10" max="10" width="32" hidden="0" customWidth="1"/>
    <x:col min="11" max="11" width="29" hidden="0" customWidth="1"/>
    <x:col min="12" max="12" width="16" hidden="0" customWidth="1"/>
    <x:col min="13" max="13" width="30" hidden="0" customWidth="1"/>
    <x:col min="14" max="14" width="20" hidden="0" customWidth="1"/>
    <x:col min="15" max="15" width="28" hidden="0" customWidth="1"/>
  </x:cols>
  <x:sheetData>
    <x:row r="1" ht="32" customHeight="1">
      <x:c r="A1" s="3" t="str">
        <x:v>讲解素材库｜事实、解释、边界和问题</x:v>
      </x:c>
      <x:c r="B1" s="3"/>
      <x:c r="C1" s="3"/>
      <x:c r="D1" s="3"/>
      <x:c r="E1" s="3"/>
      <x:c r="F1" s="3"/>
      <x:c r="G1" s="3"/>
      <x:c r="H1" s="3"/>
      <x:c r="I1" s="3"/>
      <x:c r="J1" s="3"/>
      <x:c r="K1" s="3"/>
      <x:c r="L1" s="3"/>
      <x:c r="M1" s="3"/>
      <x:c r="N1" s="3"/>
      <x:c r="O1" s="3"/>
    </x:row>
    <x:row r="2" ht="30" customHeight="1">
      <x:c r="A2" s="7" t="str">
        <x:v>素材库保存比游客最终看到更多的内容。输出时只取与所选模块和客群匹配的一张讲解卡。</x:v>
      </x:c>
      <x:c r="B2" s="7"/>
      <x:c r="C2" s="7"/>
      <x:c r="D2" s="7"/>
      <x:c r="E2" s="7"/>
      <x:c r="F2" s="7"/>
      <x:c r="G2" s="7"/>
      <x:c r="H2" s="7"/>
      <x:c r="I2" s="7"/>
      <x:c r="J2" s="7"/>
      <x:c r="K2" s="7"/>
      <x:c r="L2" s="7"/>
      <x:c r="M2" s="7"/>
      <x:c r="N2" s="7"/>
      <x:c r="O2" s="7"/>
    </x:row>
    <x:row r="5" ht="34" customHeight="1">
      <x:c r="A5" s="11" t="str">
        <x:v>卡ID</x:v>
      </x:c>
      <x:c r="B5" s="11" t="str">
        <x:v>主题</x:v>
      </x:c>
      <x:c r="C5" s="11" t="str">
        <x:v>适用节点</x:v>
      </x:c>
      <x:c r="D5" s="11" t="str">
        <x:v>现场切入</x:v>
      </x:c>
      <x:c r="E5" s="11" t="str">
        <x:v>深层解释</x:v>
      </x:c>
      <x:c r="F5" s="11" t="str">
        <x:v>不要这样说</x:v>
      </x:c>
      <x:c r="G5" s="11" t="str">
        <x:v>给游客的问题</x:v>
      </x:c>
      <x:c r="H5" s="11" t="str">
        <x:v>证据状态</x:v>
      </x:c>
      <x:c r="I5" s="11" t="str">
        <x:v>来源URL1</x:v>
      </x:c>
      <x:c r="J5" s="11" t="str">
        <x:v>来源URL2</x:v>
      </x:c>
      <x:c r="K5" s="11" t="str">
        <x:v>下一步</x:v>
      </x:c>
      <x:c r="L5" s="11" t="str">
        <x:v>内容角色</x:v>
      </x:c>
      <x:c r="M5" s="11" t="str">
        <x:v>适合客群</x:v>
      </x:c>
      <x:c r="N5" s="11" t="str">
        <x:v>适合长度</x:v>
      </x:c>
      <x:c r="O5" s="11" t="str">
        <x:v>使用条件</x:v>
      </x:c>
    </x:row>
    <x:row r="6" ht="68" customHeight="1">
      <x:c r="A6" s="19" t="str">
        <x:v>ST01</x:v>
      </x:c>
      <x:c r="B6" s="19" t="str">
        <x:v>重庆为什么“地面不止一层”</x:v>
      </x:c>
      <x:c r="C6" s="19" t="str">
        <x:v>魁星楼、朝天门、洪崖洞、山城步道</x:v>
      </x:c>
      <x:c r="D6" s="19" t="str">
        <x:v>先让游客描述自己所在的“地面”与楼层</x:v>
      </x:c>
      <x:c r="E6" s="19" t="str">
        <x:v>地形不是高楼的背景，而是塑造道路、入口、治理和日常经验的主动因素</x:v>
      </x:c>
      <x:c r="F6" s="19" t="str">
        <x:v>重庆是8D魔幻城市，所以哪里都没有一楼</x:v>
      </x:c>
      <x:c r="G6" s="19" t="str">
        <x:v>如果导航只给平面距离，它漏掉了什么？</x:v>
      </x:c>
      <x:c r="H6" s="19" t="str">
        <x:v>S2+S3</x:v>
      </x:c>
      <x:c r="I6" s="19" t="str">
        <x:v>https://doi.org/10.17645/up.v7i4.5810</x:v>
      </x:c>
      <x:c r="J6" s="19" t="str">
        <x:v>https://www.reddit.com/r/travelchina/comments/1t4cdvm/help_planning_chongqing/</x:v>
      </x:c>
      <x:c r="K6" s="19" t="str">
        <x:v>做一张入口层级图</x:v>
      </x:c>
      <x:c r="L6" s="19" t="str">
        <x:v>核心解释</x:v>
      </x:c>
      <x:c r="M6" s="19" t="str">
        <x:v>首次经典|赛博摄影</x:v>
      </x:c>
      <x:c r="N6" s="19" t="str">
        <x:v>精简|标准|深度</x:v>
      </x:c>
      <x:c r="O6" s="19" t="str">
        <x:v>解释多重地面</x:v>
      </x:c>
    </x:row>
    <x:row r="7" ht="68" customHeight="1">
      <x:c r="A7" s="20" t="str">
        <x:v>ST02</x:v>
      </x:c>
      <x:c r="B7" s="20" t="str">
        <x:v>奇观与日常的冲突</x:v>
      </x:c>
      <x:c r="C7" s="20" t="str">
        <x:v>洪崖洞、白象居、李子坝</x:v>
      </x:c>
      <x:c r="D7" s="20" t="str">
        <x:v>比较游客拍摄动作与居民通行</x:v>
      </x:c>
      <x:c r="E7" s="20" t="str">
        <x:v>外来者看到“赛博朋克”，居民面对的是通勤、消防、噪音和公共/私人边界</x:v>
      </x:c>
      <x:c r="F7" s="20" t="str">
        <x:v>这里像电影，所以居民也欢迎游客随便拍</x:v>
      </x:c>
      <x:c r="G7" s="20" t="str">
        <x:v>什么时候一个城市空间从公共场所变成别人的生活空间？</x:v>
      </x:c>
      <x:c r="H7" s="20" t="str">
        <x:v>S2</x:v>
      </x:c>
      <x:c r="I7" s="20" t="str">
        <x:v>https://eprints.whiterose.ac.uk/id/eprint/185301/</x:v>
      </x:c>
      <x:c r="J7" s="20" t="str">
        <x:v>https://www.cq.gov.cn/ywdt/jrcq/202606/t20260613_15751500.html</x:v>
      </x:c>
      <x:c r="K7" s="20" t="str">
        <x:v>制定拍摄伦理卡</x:v>
      </x:c>
      <x:c r="L7" s="20" t="str">
        <x:v>真实生活</x:v>
      </x:c>
      <x:c r="M7" s="20" t="str">
        <x:v>首次经典|美食生活|复游客</x:v>
      </x:c>
      <x:c r="N7" s="20" t="str">
        <x:v>标准|深度</x:v>
      </x:c>
      <x:c r="O7" s="20" t="str">
        <x:v>讨论游客与居民边界</x:v>
      </x:c>
    </x:row>
    <x:row r="8" ht="68" customHeight="1">
      <x:c r="A8" s="20" t="str">
        <x:v>ST03</x:v>
      </x:c>
      <x:c r="B8" s="20" t="str">
        <x:v>朝天门为什么是重庆的门</x:v>
      </x:c>
      <x:c r="C8" s="20" t="str">
        <x:v>朝天门江岸</x:v>
      </x:c>
      <x:c r="D8" s="20" t="str">
        <x:v>观察两江交汇、半岛尖端与历史码头方向</x:v>
      </x:c>
      <x:c r="E8" s="20" t="str">
        <x:v>城门、码头、航运和当代交通共同定义重庆的门户性</x:v>
      </x:c>
      <x:c r="F8" s="20" t="str">
        <x:v>来福士就是朝天门</x:v>
      </x:c>
      <x:c r="G8" s="20" t="str">
        <x:v>如果没有长江航运，重庆会怎样生长？</x:v>
      </x:c>
      <x:c r="H8" s="20" t="str">
        <x:v>S1</x:v>
      </x:c>
      <x:c r="I8" s="20" t="str">
        <x:v>https://www.cq.gov.cn/zwgk/zfxxgkml/zdlyxxgk/ggwh/ly/zxdt/202511/t20251107_15146900.html</x:v>
      </x:c>
      <x:c r="J8" s="20" t="str">
        <x:v>https://www.cq.gov.cn/ywdt/zwhd/qxdt/202009/t20200907_8628081.html</x:v>
      </x:c>
      <x:c r="K8" s="20" t="str">
        <x:v>现场确认历史遗存可见点</x:v>
      </x:c>
      <x:c r="L8" s="20" t="str">
        <x:v>核心解释</x:v>
      </x:c>
      <x:c r="M8" s="20" t="str">
        <x:v>首次经典|文化历史</x:v>
      </x:c>
      <x:c r="N8" s="20" t="str">
        <x:v>标准|深度</x:v>
      </x:c>
      <x:c r="O8" s="20" t="str">
        <x:v>解释朝天门的门与港</x:v>
      </x:c>
    </x:row>
    <x:row r="9" ht="68" customHeight="1">
      <x:c r="A9" s="20" t="str">
        <x:v>ST04</x:v>
      </x:c>
      <x:c r="B9" s="20" t="str">
        <x:v>湖广填四川不是一句口号</x:v>
      </x:c>
      <x:c r="C9" s="20" t="str">
        <x:v>湖广会馆</x:v>
      </x:c>
      <x:c r="D9" s="20" t="str">
        <x:v>用会所、戏台、神祇和雕刻解释组织结构</x:v>
      </x:c>
      <x:c r="E9" s="20" t="str">
        <x:v>移民需要同乡互助、贸易信用、祭祀与公共生活，会馆是制度化空间</x:v>
      </x:c>
      <x:c r="F9" s="20" t="str">
        <x:v>四川人都是湖广移民后代</x:v>
      </x:c>
      <x:c r="G9" s="20" t="str">
        <x:v>建筑中哪些空间服务商业，哪些服务信仰？</x:v>
      </x:c>
      <x:c r="H9" s="20" t="str">
        <x:v>S1</x:v>
      </x:c>
      <x:c r="I9" s="20" t="str">
        <x:v>https://whlyw.cq.gov.cn/zjwl/yzq/cqwlzy/zqwwzy/202405/t20240507_13182428.html</x:v>
      </x:c>
      <x:c r="J9" s="20" t="str">
        <x:v>https://ghzrzyj.cq.gov.cn/ztlm_186/ghgb/zxgh/202507/P020250716371670706300.pdf</x:v>
      </x:c>
      <x:c r="K9" s="20" t="str">
        <x:v>核验馆内叙事与英文</x:v>
      </x:c>
      <x:c r="L9" s="20" t="str">
        <x:v>核心解释</x:v>
      </x:c>
      <x:c r="M9" s="20" t="str">
        <x:v>文化历史</x:v>
      </x:c>
      <x:c r="N9" s="20" t="str">
        <x:v>标准|深度</x:v>
      </x:c>
      <x:c r="O9" s="20" t="str">
        <x:v>把会馆从古建筑转为移民网络</x:v>
      </x:c>
    </x:row>
    <x:row r="10" ht="68" customHeight="1">
      <x:c r="A10" s="20" t="str">
        <x:v>ST05</x:v>
      </x:c>
      <x:c r="B10" s="20" t="str">
        <x:v>九开八闭与山江防御</x:v>
      </x:c>
      <x:c r="C10" s="20" t="str">
        <x:v>东水门、通远门</x:v>
      </x:c>
      <x:c r="D10" s="20" t="str">
        <x:v>从水门走到陆门，比较内外高差</x:v>
      </x:c>
      <x:c r="E10" s="20" t="str">
        <x:v>十七城门依山就势；通远门不面水，东水门连接长江航运</x:v>
      </x:c>
      <x:c r="F10" s="20" t="str">
        <x:v>重庆古城墙和西安城墙一样连续完整</x:v>
      </x:c>
      <x:c r="G10" s="20" t="str">
        <x:v>为什么很多重庆城墙看起来更像崖壁？</x:v>
      </x:c>
      <x:c r="H10" s="20" t="str">
        <x:v>S1</x:v>
      </x:c>
      <x:c r="I10" s="20" t="str">
        <x:v>https://whlyw.cq.gov.cn/zjwl/yzq/cqwlzy/zqwwzy/202405/t20240507_13182468.html</x:v>
      </x:c>
      <x:c r="J10" s="20" t="str">
        <x:v>https://www.cqyz.gov.cn/zjyz/lyyz/rmdkd/202202/t20220215_10397616.html</x:v>
      </x:c>
      <x:c r="K10" s="20" t="str">
        <x:v>制作两门小地图</x:v>
      </x:c>
      <x:c r="L10" s="20" t="str">
        <x:v>核心解释</x:v>
      </x:c>
      <x:c r="M10" s="20" t="str">
        <x:v>文化历史</x:v>
      </x:c>
      <x:c r="N10" s="20" t="str">
        <x:v>深度</x:v>
      </x:c>
      <x:c r="O10" s="20" t="str">
        <x:v>九开八闭与水陆城门</x:v>
      </x:c>
    </x:row>
    <x:row r="11" ht="68" customHeight="1">
      <x:c r="A11" s="20" t="str">
        <x:v>ST06</x:v>
      </x:c>
      <x:c r="B11" s="20" t="str">
        <x:v>上半城与下半城</x:v>
      </x:c>
      <x:c r="C11" s="20" t="str">
        <x:v>白象街、山城巷、十八梯</x:v>
      </x:c>
      <x:c r="D11" s="20" t="str">
        <x:v>从江边商业与山上政务/居住的高差切入</x:v>
      </x:c>
      <x:c r="E11" s="20" t="str">
        <x:v>城市功能、阶层与交通长期沿坡度分布，步道连接的不只是地点</x:v>
      </x:c>
      <x:c r="F11" s="20" t="str">
        <x:v>十八梯就是老重庆的原貌</x:v>
      </x:c>
      <x:c r="G11" s="20" t="str">
        <x:v>谁每天需要走这些梯道，谁今天把它当景观？</x:v>
      </x:c>
      <x:c r="H11" s="20" t="str">
        <x:v>S1+S2</x:v>
      </x:c>
      <x:c r="I11" s="20" t="str">
        <x:v>https://www.shplanning.com.cn/archive/download/id/487.html</x:v>
      </x:c>
      <x:c r="J11" s="20" t="str">
        <x:v>https://ghzrzyj.cq.gov.cn/bsfw_186/dtfw/mzyt/202511/t20251124_15184222_wap.html</x:v>
      </x:c>
      <x:c r="K11" s="20" t="str">
        <x:v>访谈本地人校正表述</x:v>
      </x:c>
      <x:c r="L11" s="20" t="str">
        <x:v>核心解释</x:v>
      </x:c>
      <x:c r="M11" s="20" t="str">
        <x:v>首次经典|文化历史</x:v>
      </x:c>
      <x:c r="N11" s="20" t="str">
        <x:v>标准|深度</x:v>
      </x:c>
      <x:c r="O11" s="20" t="str">
        <x:v>上下半城与道路系统</x:v>
      </x:c>
    </x:row>
    <x:row r="12" ht="68" customHeight="1">
      <x:c r="A12" s="20" t="str">
        <x:v>ST07</x:v>
      </x:c>
      <x:c r="B12" s="20" t="str">
        <x:v>城市更新如何制造“老街”</x:v>
      </x:c>
      <x:c r="C12" s="20" t="str">
        <x:v>十八梯、龙门浩、二厂</x:v>
      </x:c>
      <x:c r="D12" s="20" t="str">
        <x:v>辨认原构件、修复、新建和商业植入</x:v>
      </x:c>
      <x:c r="E12" s="20" t="str">
        <x:v>历史环境保护、改善生活与消费开发之间始终存在张力</x:v>
      </x:c>
      <x:c r="F12" s="20" t="str">
        <x:v>修得漂亮就等于保护成功/商业化就没有价值</x:v>
      </x:c>
      <x:c r="G12" s="20" t="str">
        <x:v>哪种更新让历史更可读，哪种只制造氛围？</x:v>
      </x:c>
      <x:c r="H12" s="20" t="str">
        <x:v>S1+S2</x:v>
      </x:c>
      <x:c r="I12" s="20" t="str">
        <x:v>https://www.cq.gov.cn/ywdt/jrcq/202605/t20260506_15650945.html</x:v>
      </x:c>
      <x:c r="J12" s="20" t="str">
        <x:v>https://eprints.whiterose.ac.uk/id/eprint/185301/</x:v>
      </x:c>
      <x:c r="K12" s="20" t="str">
        <x:v>建立更新对比照片模板</x:v>
      </x:c>
      <x:c r="L12" s="20" t="str">
        <x:v>核心解释</x:v>
      </x:c>
      <x:c r="M12" s="20" t="str">
        <x:v>文化历史|复游客</x:v>
      </x:c>
      <x:c r="N12" s="20" t="str">
        <x:v>深度</x:v>
      </x:c>
      <x:c r="O12" s="20" t="str">
        <x:v>城市更新与日常价值冲突</x:v>
      </x:c>
    </x:row>
    <x:row r="13" ht="68" customHeight="1">
      <x:c r="A13" s="20" t="str">
        <x:v>ST08</x:v>
      </x:c>
      <x:c r="B13" s="20" t="str">
        <x:v>重庆为什么成为抗战陪都</x:v>
      </x:c>
      <x:c r="C13" s="20" t="str">
        <x:v>三峡博物馆、中山四路、大轰炸遗址</x:v>
      </x:c>
      <x:c r="D13" s="20" t="str">
        <x:v>先看全国迁移，再看一条街的机构密度</x:v>
      </x:c>
      <x:c r="E13" s="20" t="str">
        <x:v>战时政府、工业、学校、媒体和国际机构内迁改变了重庆</x:v>
      </x:c>
      <x:c r="F13" s="20" t="str">
        <x:v>抗战重庆只等于红色旅游</x:v>
      </x:c>
      <x:c r="G13" s="20" t="str">
        <x:v>战争如何改变人口、工业、建筑和国际关系？</x:v>
      </x:c>
      <x:c r="H13" s="20" t="str">
        <x:v>S1</x:v>
      </x:c>
      <x:c r="I13" s="20" t="str">
        <x:v>https://www.cqyz.gov.cn/zjyz/lyyz/rmdkd/202210/t20221005_11164444.html</x:v>
      </x:c>
      <x:c r="J13" s="20" t="str">
        <x:v>https://www.cq.gov.cn/ywdt/zwhd/qxdt/202009/t20200907_8628081.html</x:v>
      </x:c>
      <x:c r="K13" s="20" t="str">
        <x:v>筛选三馆核心展项</x:v>
      </x:c>
      <x:c r="L13" s="20" t="str">
        <x:v>核心解释</x:v>
      </x:c>
      <x:c r="M13" s="20" t="str">
        <x:v>文化历史</x:v>
      </x:c>
      <x:c r="N13" s="20" t="str">
        <x:v>标准|深度</x:v>
      </x:c>
      <x:c r="O13" s="20" t="str">
        <x:v>抗战陪都不是单点景区</x:v>
      </x:c>
    </x:row>
    <x:row r="14" ht="68" customHeight="1">
      <x:c r="A14" s="20" t="str">
        <x:v>ST09</x:v>
      </x:c>
      <x:c r="B14" s="20" t="str">
        <x:v>国际重庆不是今天才出现</x:v>
      </x:c>
      <x:c r="C14" s="20" t="str">
        <x:v>史迪威博物馆、开埠遗址公园</x:v>
      </x:c>
      <x:c r="D14" s="20" t="str">
        <x:v>对比1891开埠与二战盟国网络</x:v>
      </x:c>
      <x:c r="E14" s="20" t="str">
        <x:v>重庆的国际联系既包含被迫开放，也包含战时联盟与当代交流</x:v>
      </x:c>
      <x:c r="F14" s="20" t="str">
        <x:v>开埠就是现代化进步</x:v>
      </x:c>
      <x:c r="G14" s="20" t="str">
        <x:v>谁控制贸易和交通？当地人获得了什么，又失去了什么？</x:v>
      </x:c>
      <x:c r="H14" s="20" t="str">
        <x:v>S1</x:v>
      </x:c>
      <x:c r="I14" s="20" t="str">
        <x:v>https://www.cq.gov.cn/ywdt/zwhd/bmdt/202511/t20251113_15160016.html</x:v>
      </x:c>
      <x:c r="J14" s="20" t="str">
        <x:v>https://www.cq.gov.cn/zwgk/zfxxgkml/zdlyxxgk/ggwh/wh/zxdt/202605/t20260518_15684252.html</x:v>
      </x:c>
      <x:c r="K14" s="20" t="str">
        <x:v>请历史专家审阅英文表述</x:v>
      </x:c>
      <x:c r="L14" s="20" t="str">
        <x:v>核心解释</x:v>
      </x:c>
      <x:c r="M14" s="20" t="str">
        <x:v>文化历史|复游客</x:v>
      </x:c>
      <x:c r="N14" s="20" t="str">
        <x:v>深度</x:v>
      </x:c>
      <x:c r="O14" s="20" t="str">
        <x:v>开埠与世界联系</x:v>
      </x:c>
    </x:row>
    <x:row r="15" ht="68" customHeight="1">
      <x:c r="A15" s="20" t="str">
        <x:v>ST10</x:v>
      </x:c>
      <x:c r="B15" s="20" t="str">
        <x:v>单轨穿楼为什么不是噱头</x:v>
      </x:c>
      <x:c r="C15" s="20" t="str">
        <x:v>轨道2号线、李子坝</x:v>
      </x:c>
      <x:c r="D15" s="20" t="str">
        <x:v>先乘坐，再去观景台</x:v>
      </x:c>
      <x:c r="E15" s="20" t="str">
        <x:v>跨座式单轨、曲线半径、坡度与高架共同适应山地密集城市</x:v>
      </x:c>
      <x:c r="F15" s="20" t="str">
        <x:v>工程师为了网红故意让列车穿楼</x:v>
      </x:c>
      <x:c r="G15" s="20" t="str">
        <x:v>如果只拍一张照片，你错过了哪些系统性设计？</x:v>
      </x:c>
      <x:c r="H15" s="20" t="str">
        <x:v>S1+S2</x:v>
      </x:c>
      <x:c r="I15" s="20" t="str">
        <x:v>https://www.cq.gov.cn/ywdt/jrcq/202605/t20260528_15709853.html</x:v>
      </x:c>
      <x:c r="J15" s="20" t="str">
        <x:v>https://doi.org/10.17645/up.v7i4.5810</x:v>
      </x:c>
      <x:c r="K15" s="20" t="str">
        <x:v>实测方向与车厢</x:v>
      </x:c>
      <x:c r="L15" s="20" t="str">
        <x:v>引流钩子</x:v>
      </x:c>
      <x:c r="M15" s="20" t="str">
        <x:v>首次经典|赛博摄影|亲子轻松</x:v>
      </x:c>
      <x:c r="N15" s="20" t="str">
        <x:v>精简|标准|深度</x:v>
      </x:c>
      <x:c r="O15" s="20" t="str">
        <x:v>单轨作为系统</x:v>
      </x:c>
    </x:row>
    <x:row r="16" ht="68" customHeight="1">
      <x:c r="A16" s="20" t="str">
        <x:v>ST11</x:v>
      </x:c>
      <x:c r="B16" s="20" t="str">
        <x:v>山城步道是一套城市道路</x:v>
      </x:c>
      <x:c r="C16" s="20" t="str">
        <x:v>第三山城步道、黄葛古道</x:v>
      </x:c>
      <x:c r="D16" s="20" t="str">
        <x:v>记录送货、通学、休息、交往而不只拍景</x:v>
      </x:c>
      <x:c r="E16" s="20" t="str">
        <x:v>步道同时承担交通、商业、社区交往和文化展示</x:v>
      </x:c>
      <x:c r="F16" s="20" t="str">
        <x:v>步道是政府后来修的旅游景区</x:v>
      </x:c>
      <x:c r="G16" s="20" t="str">
        <x:v>哪些节点仍以居民需求为主？</x:v>
      </x:c>
      <x:c r="H16" s="20" t="str">
        <x:v>S2</x:v>
      </x:c>
      <x:c r="I16" s="20" t="str">
        <x:v>https://www.shplanning.com.cn/archive/download/id/487.html</x:v>
      </x:c>
      <x:c r="J16" s="20" t="str">
        <x:v>https://ghzrzyj.cq.gov.cn/ztlm_186/ghgb/zxgh/202507/P020250716371670706300.pdf</x:v>
      </x:c>
      <x:c r="K16" s="20" t="str">
        <x:v>记录坡度、座椅与使用者</x:v>
      </x:c>
      <x:c r="L16" s="20" t="str">
        <x:v>真实生活</x:v>
      </x:c>
      <x:c r="M16" s="20" t="str">
        <x:v>首次经典|美食生活|复游客</x:v>
      </x:c>
      <x:c r="N16" s="20" t="str">
        <x:v>标准|深度</x:v>
      </x:c>
      <x:c r="O16" s="20" t="str">
        <x:v>步道作为城市道路</x:v>
      </x:c>
    </x:row>
    <x:row r="17" ht="68" customHeight="1">
      <x:c r="A17" s="20" t="str">
        <x:v>ST12</x:v>
      </x:c>
      <x:c r="B17" s="20" t="str">
        <x:v>交通茶馆的摄影伦理</x:v>
      </x:c>
      <x:c r="C17" s="20" t="str">
        <x:v>交通茶馆</x:v>
      </x:c>
      <x:c r="D17" s="20" t="str">
        <x:v>先消费、观察，再征得同意拍摄</x:v>
      </x:c>
      <x:c r="E17" s="20" t="str">
        <x:v>真实感不是可免费获取的素材；熟客与经营者有空间权利</x:v>
      </x:c>
      <x:c r="F17" s="20" t="str">
        <x:v>老茶馆里的人都是可拍摄的民俗演员</x:v>
      </x:c>
      <x:c r="G17" s="20" t="str">
        <x:v>如果不拍照，这个空间还值得停留吗？</x:v>
      </x:c>
      <x:c r="H17" s="20" t="str">
        <x:v>S1+S2</x:v>
      </x:c>
      <x:c r="I17" s="20" t="str">
        <x:v>https://mzj.cq.gov.cn/sy_218/bmdt/mzyw/t_14233171.html</x:v>
      </x:c>
      <x:c r="J17" s="20" t="str">
        <x:v>https://eprints.whiterose.ac.uk/id/eprint/185301/</x:v>
      </x:c>
      <x:c r="K17" s="20" t="str">
        <x:v>与店方共定接待规则</x:v>
      </x:c>
      <x:c r="L17" s="20" t="str">
        <x:v>真实生活</x:v>
      </x:c>
      <x:c r="M17" s="20" t="str">
        <x:v>赛博摄影|美食生活|复游客</x:v>
      </x:c>
      <x:c r="N17" s="20" t="str">
        <x:v>深度</x:v>
      </x:c>
      <x:c r="O17" s="20" t="str">
        <x:v>茶馆的拍摄伦理</x:v>
      </x:c>
    </x:row>
    <x:row r="18" ht="68" customHeight="1">
      <x:c r="A18" s="20" t="str">
        <x:v>ST13</x:v>
      </x:c>
      <x:c r="B18" s="20" t="str">
        <x:v>火锅是一套共享规则</x:v>
      </x:c>
      <x:c r="C18" s="20" t="str">
        <x:v>双语火锅体验</x:v>
      </x:c>
      <x:c r="D18" s="20" t="str">
        <x:v>让游客参与选锅底、油碟和下菜顺序</x:v>
      </x:c>
      <x:c r="E18" s="20" t="str">
        <x:v>火锅的价值是共同用餐、节奏与地方身份，不只是辣度挑战</x:v>
      </x:c>
      <x:c r="F18" s="20" t="str">
        <x:v>越辣越正宗；内脏是猎奇</x:v>
      </x:c>
      <x:c r="G18" s="20" t="str">
        <x:v>谁决定锅里先下什么？个人口味如何与集体共享协调？</x:v>
      </x:c>
      <x:c r="H18" s="20" t="str">
        <x:v>S1</x:v>
      </x:c>
      <x:c r="I18" s="20" t="str">
        <x:v>https://whlyw.cq.gov.cn/zjwl/szq/zqms/202411/t20241111_13787035.html</x:v>
      </x:c>
      <x:c r="J18" s="20" t="str">
        <x:v>https://whlyw.cq.gov.cn/zwgk_221/zfgkzcwj/qtwj/202607/t20260709_15810099.html</x:v>
      </x:c>
      <x:c r="K18" s="20" t="str">
        <x:v>做过敏与点菜卡</x:v>
      </x:c>
      <x:c r="L18" s="20" t="str">
        <x:v>付费体验</x:v>
      </x:c>
      <x:c r="M18" s="20" t="str">
        <x:v>首次经典|美食生活|亲子轻松</x:v>
      </x:c>
      <x:c r="N18" s="20" t="str">
        <x:v>精简|标准|深度</x:v>
      </x:c>
      <x:c r="O18" s="20" t="str">
        <x:v>火锅共享规则</x:v>
      </x:c>
    </x:row>
    <x:row r="19" ht="68" customHeight="1">
      <x:c r="A19" s="20" t="str">
        <x:v>ST14</x:v>
      </x:c>
      <x:c r="B19" s="20" t="str">
        <x:v>无人机秀讲的是当代重庆</x:v>
      </x:c>
      <x:c r="C19" s="20" t="str">
        <x:v>两江四岸</x:v>
      </x:c>
      <x:c r="D19" s="20" t="str">
        <x:v>观察灯光、空域、人流与疏散协同</x:v>
      </x:c>
      <x:c r="E19" s="20" t="str">
        <x:v>它是城市品牌、低空技术和公共空间治理的综合产品</x:v>
      </x:c>
      <x:c r="F19" s="20" t="str">
        <x:v>这是重庆传统民俗</x:v>
      </x:c>
      <x:c r="G19" s="20" t="str">
        <x:v>当一座城市把天空变成舞台，谁在组织背后的系统？</x:v>
      </x:c>
      <x:c r="H19" s="20" t="str">
        <x:v>S1</x:v>
      </x:c>
      <x:c r="I19" s="20" t="str">
        <x:v>https://www.cq.gov.cn/ywdt/jrcq/202605/t20260531_15716501_app.html</x:v>
      </x:c>
      <x:c r="J19" s="20" t="str">
        <x:v>https://eprints.whiterose.ac.uk/id/eprint/185301/</x:v>
      </x:c>
      <x:c r="K19" s="20" t="str">
        <x:v>按月更新并记录取消率</x:v>
      </x:c>
      <x:c r="L19" s="20" t="str">
        <x:v>引流钩子</x:v>
      </x:c>
      <x:c r="M19" s="20" t="str">
        <x:v>首次经典|赛博摄影</x:v>
      </x:c>
      <x:c r="N19" s="20" t="str">
        <x:v>标准|深度</x:v>
      </x:c>
      <x:c r="O19" s="20" t="str">
        <x:v>灯光秀作为当代品牌</x:v>
      </x:c>
    </x:row>
    <x:row r="20" ht="68" customHeight="1">
      <x:c r="A20" s="21" t="str">
        <x:v>ST15</x:v>
      </x:c>
      <x:c r="B20" s="21" t="str">
        <x:v>为什么不把所有热门点都塞进去</x:v>
      </x:c>
      <x:c r="C20" s="21" t="str">
        <x:v>整个路书</x:v>
      </x:c>
      <x:c r="D20" s="21" t="str">
        <x:v>显示转场、坡度、拥挤和恢复时间</x:v>
      </x:c>
      <x:c r="E20" s="21" t="str">
        <x:v>深度不是地点多，而是观察—解释—取舍—执行形成闭环</x:v>
      </x:c>
      <x:c r="F20" s="21" t="str">
        <x:v>付费路书必须比免费攻略多列景点</x:v>
      </x:c>
      <x:c r="G20" s="21" t="str">
        <x:v>删掉哪个点，反而让城市更容易被理解？</x:v>
      </x:c>
      <x:c r="H20" s="21" t="str">
        <x:v>S3</x:v>
      </x:c>
      <x:c r="I20" s="21" t="str">
        <x:v>https://www.reddit.com/r/travelchina/comments/1o74mfa/trip_report_for_chongqing_4_night_stay/</x:v>
      </x:c>
      <x:c r="J20" s="21" t="str">
        <x:v>https://www.reddit.com/r/travelchina/comments/1v4olqp/thoughts_on_my_chongqing_itinerary/</x:v>
      </x:c>
      <x:c r="K20" s="21" t="str">
        <x:v>实走后记录每次删减理由</x:v>
      </x:c>
      <x:c r="L20" s="21" t="str">
        <x:v>输出规则</x:v>
      </x:c>
      <x:c r="M20" s="21" t="str">
        <x:v>全部</x:v>
      </x:c>
      <x:c r="N20" s="21" t="str">
        <x:v>全部</x:v>
      </x:c>
      <x:c r="O20" s="21" t="str">
        <x:v>深度来自取舍而非点位数量</x:v>
      </x:c>
    </x:row>
  </x:sheetData>
  <x:mergeCells>
    <x:mergeCell ref="A1:O1"/>
    <x:mergeCell ref="A2:O2"/>
  </x:mergeCells>
  <x:pageMargins left="0.7" right="0.7" top="0.75" bottom="0.75" header="0.3" footer="0.3"/>
  <x:tableParts count="1">
    <x:tablePart xmlns:r="http://schemas.openxmlformats.org/officeDocument/2006/relationships" r:id="R3226c214df2d4c8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38" hidden="0" customWidth="1"/>
    <x:col min="4" max="4" width="35" hidden="0" customWidth="1"/>
    <x:col min="5" max="5" width="32" hidden="0" customWidth="1"/>
    <x:col min="6" max="6" width="27" hidden="0" customWidth="1"/>
    <x:col min="7" max="7" width="13" hidden="0" customWidth="1"/>
  </x:cols>
  <x:sheetData>
    <x:row r="1" ht="32" customHeight="1">
      <x:c r="A1" s="3" t="str">
        <x:v>客群规则｜同一数据库，不同重点</x:v>
      </x:c>
      <x:c r="B1" s="3"/>
      <x:c r="C1" s="3"/>
      <x:c r="D1" s="3"/>
      <x:c r="E1" s="3"/>
      <x:c r="F1" s="3"/>
      <x:c r="G1" s="3"/>
    </x:row>
    <x:row r="2" ht="30" customHeight="1">
      <x:c r="A2" s="7" t="str">
        <x:v>画像不是人口统计，而是游客这次旅行最想获得什么。它决定模块优先级和首先删除什么。</x:v>
      </x:c>
      <x:c r="B2" s="7"/>
      <x:c r="C2" s="7"/>
      <x:c r="D2" s="7"/>
      <x:c r="E2" s="7"/>
      <x:c r="F2" s="7"/>
      <x:c r="G2" s="7"/>
    </x:row>
    <x:row r="5" ht="34" customHeight="1">
      <x:c r="A5" s="11" t="str">
        <x:v>客群</x:v>
      </x:c>
      <x:c r="B5" s="11" t="str">
        <x:v>核心需求</x:v>
      </x:c>
      <x:c r="C5" s="11" t="str">
        <x:v>输出承诺</x:v>
      </x:c>
      <x:c r="D5" s="11" t="str">
        <x:v>最常见失败</x:v>
      </x:c>
      <x:c r="E5" s="11" t="str">
        <x:v>必须优先</x:v>
      </x:c>
      <x:c r="F5" s="11" t="str">
        <x:v>首先删除</x:v>
      </x:c>
      <x:c r="G5" s="11" t="str">
        <x:v>建议停留</x:v>
      </x:c>
    </x:row>
    <x:row r="6" ht="62" customHeight="1">
      <x:c r="A6" s="19" t="str">
        <x:v>首次经典</x:v>
      </x:c>
      <x:c r="B6" s="19" t="str">
        <x:v>第一次来重庆，想看到代表性城市形象但不想太累</x:v>
      </x:c>
      <x:c r="C6" s="19" t="str">
        <x:v>赛博视觉＋立体城市＋一条历史线＋火锅</x:v>
      </x:c>
      <x:c r="D6" s="19" t="str">
        <x:v>多点打卡、排队和重复夜景</x:v>
      </x:c>
      <x:c r="E6" s="19" t="str">
        <x:v>RM02|RM03|RM04|RM07|RM10|RM12|RM13|RM16</x:v>
      </x:c>
      <x:c r="F6" s="19" t="str">
        <x:v>RM06|RM09|RM11|RM18</x:v>
      </x:c>
      <x:c r="G6" s="19" t="str">
        <x:v>3天</x:v>
      </x:c>
    </x:row>
    <x:row r="7" ht="62" customHeight="1">
      <x:c r="A7" s="20" t="str">
        <x:v>赛博摄影</x:v>
      </x:c>
      <x:c r="B7" s="20" t="str">
        <x:v>为城市视觉、建筑、交通和夜景而来</x:v>
      </x:c>
      <x:c r="C7" s="20" t="str">
        <x:v>多重地面＋单轨＋外部夜景读图</x:v>
      </x:c>
      <x:c r="D7" s="20" t="str">
        <x:v>只给机位、不解释空间；三个相似夜景</x:v>
      </x:c>
      <x:c r="E7" s="20" t="str">
        <x:v>RM02|RM04|RM16|RM17</x:v>
      </x:c>
      <x:c r="F7" s="20" t="str">
        <x:v>RM11|RM15|RM18</x:v>
      </x:c>
      <x:c r="G7" s="20" t="str">
        <x:v>2—3天</x:v>
      </x:c>
    </x:row>
    <x:row r="8" ht="62" customHeight="1">
      <x:c r="A8" s="20" t="str">
        <x:v>文化历史</x:v>
      </x:c>
      <x:c r="B8" s="20" t="str">
        <x:v>希望理解移民、开埠、抗战和国际关系</x:v>
      </x:c>
      <x:c r="C8" s="20" t="str">
        <x:v>移民母城＋抗战陪都＋开埠南岸</x:v>
      </x:c>
      <x:c r="D8" s="20" t="str">
        <x:v>连续场馆、人物年代过载</x:v>
      </x:c>
      <x:c r="E8" s="20" t="str">
        <x:v>RM07|RM08|RM10|RM13|RM14|RM15|RM19|RM20</x:v>
      </x:c>
      <x:c r="F8" s="20" t="str">
        <x:v>RM05|RM06|RM09</x:v>
      </x:c>
      <x:c r="G8" s="20" t="str">
        <x:v>3—4天</x:v>
      </x:c>
    </x:row>
    <x:row r="9" ht="62" customHeight="1">
      <x:c r="A9" s="20" t="str">
        <x:v>美食生活</x:v>
      </x:c>
      <x:c r="B9" s="20" t="str">
        <x:v>更重视日常饮食、社区和与人互动</x:v>
      </x:c>
      <x:c r="C9" s="20" t="str">
        <x:v>小面＋火锅＋茶馆/夜生活＋一项城市奇观</x:v>
      </x:c>
      <x:c r="D9" s="20" t="str">
        <x:v>只发餐厅名单；侵入居民空间</x:v>
      </x:c>
      <x:c r="E9" s="20" t="str">
        <x:v>RM12|RM06|RM23|RM02</x:v>
      </x:c>
      <x:c r="F9" s="20" t="str">
        <x:v>RM11|RM15|RM18</x:v>
      </x:c>
      <x:c r="G9" s="20" t="str">
        <x:v>2—4天</x:v>
      </x:c>
    </x:row>
    <x:row r="10" ht="62" customHeight="1">
      <x:c r="A10" s="20" t="str">
        <x:v>亲子轻松</x:v>
      </x:c>
      <x:c r="B10" s="20" t="str">
        <x:v>亲子、长辈或低体力，希望内容清楚、转场简单</x:v>
      </x:c>
      <x:c r="C10" s="20" t="str">
        <x:v>博物馆＋轨道交通＋低体力夜景＋安全饮食</x:v>
      </x:c>
      <x:c r="D10" s="20" t="str">
        <x:v>长步道、闷热排队、无休息点</x:v>
      </x:c>
      <x:c r="E10" s="20" t="str">
        <x:v>RM05|RM12|RM13|RM16|RM18</x:v>
      </x:c>
      <x:c r="F10" s="20" t="str">
        <x:v>RM09|RM10|RM11|RM20</x:v>
      </x:c>
      <x:c r="G10" s="20" t="str">
        <x:v>2—3天</x:v>
      </x:c>
    </x:row>
    <x:row r="11" ht="62" customHeight="1">
      <x:c r="A11" s="21" t="str">
        <x:v>复游客</x:v>
      </x:c>
      <x:c r="B11" s="21" t="str">
        <x:v>已经看过洪崖洞和李子坝，想要更真实的街区与主题</x:v>
      </x:c>
      <x:c r="C11" s="21" t="str">
        <x:v>开埠、艺术、社区、工业与本地夜生活</x:v>
      </x:c>
      <x:c r="D11" s="21" t="str">
        <x:v>再次复制首访打卡路线</x:v>
      </x:c>
      <x:c r="E11" s="21" t="str">
        <x:v>RM06|RM08|RM19|RM20|RM22|RM23|RM24</x:v>
      </x:c>
      <x:c r="F11" s="21" t="str">
        <x:v>RM01|RM03|RM05</x:v>
      </x:c>
      <x:c r="G11" s="21" t="str">
        <x:v>3—4天</x:v>
      </x:c>
    </x:row>
  </x:sheetData>
  <x:mergeCells>
    <x:mergeCell ref="A1:G1"/>
    <x:mergeCell ref="A2:G2"/>
  </x:mergeCells>
  <x:pageMargins left="0.7" right="0.7" top="0.75" bottom="0.75" header="0.3" footer="0.3"/>
  <x:tableParts count="1">
    <x:tablePart xmlns:r="http://schemas.openxmlformats.org/officeDocument/2006/relationships" r:id="R5560dd8c8b5e4e4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23" hidden="0" customWidth="1"/>
    <x:col min="3" max="3" width="43" hidden="0" customWidth="1"/>
    <x:col min="4" max="4" width="43" hidden="0" customWidth="1"/>
  </x:cols>
  <x:sheetData>
    <x:row r="1" ht="32" customHeight="1">
      <x:c r="A1" s="3" t="str">
        <x:v>游客输出规则｜重点来自删除</x:v>
      </x:c>
      <x:c r="B1" s="3"/>
      <x:c r="C1" s="3"/>
      <x:c r="D1" s="3"/>
    </x:row>
    <x:row r="2" ht="30" customHeight="1">
      <x:c r="A2" s="7" t="str">
        <x:v>数据库可以很深，游客输出必须克制。以下规则限制信息量、重复主题和未核验承诺。</x:v>
      </x:c>
      <x:c r="B2" s="7"/>
      <x:c r="C2" s="7"/>
      <x:c r="D2" s="7"/>
    </x:row>
    <x:row r="5" ht="34" customHeight="1">
      <x:c r="A5" s="11" t="str">
        <x:v>规则层</x:v>
      </x:c>
      <x:c r="B5" s="11" t="str">
        <x:v>控制项</x:v>
      </x:c>
      <x:c r="C5" s="11" t="str">
        <x:v>明确规则</x:v>
      </x:c>
      <x:c r="D5" s="11" t="str">
        <x:v>执行方式</x:v>
      </x:c>
    </x:row>
    <x:row r="6" ht="50" customHeight="1">
      <x:c r="A6" s="19" t="str">
        <x:v>对话状态</x:v>
      </x:c>
      <x:c r="B6" s="19" t="str">
        <x:v>证据分层</x:v>
      </x:c>
      <x:c r="C6" s="19" t="str">
        <x:v>显性事实、潜意图、硬约束、未知项和已作废信息分开保存</x:v>
      </x:c>
      <x:c r="D6" s="19" t="str">
        <x:v>任何推断都必须附客户原话和置信度</x:v>
      </x:c>
    </x:row>
    <x:row r="7" ht="50" customHeight="1">
      <x:c r="A7" s="20" t="str">
        <x:v>潜意图</x:v>
      </x:c>
      <x:c r="B7" s="20" t="str">
        <x:v>排序门槛</x:v>
      </x:c>
      <x:c r="C7" s="20" t="str">
        <x:v>置信度低于50%只生成追问，不得影响模块排序</x:v>
      </x:c>
      <x:c r="D7" s="20" t="str">
        <x:v>涉及安全、收费、拍摄和私域时必须确认</x:v>
      </x:c>
    </x:row>
    <x:row r="8" ht="50" customHeight="1">
      <x:c r="A8" s="20" t="str">
        <x:v>追问预算</x:v>
      </x:c>
      <x:c r="B8" s="20" t="str">
        <x:v>每轮问题数</x:v>
      </x:c>
      <x:c r="C8" s="20" t="str">
        <x:v>最多1—2个</x:v>
      </x:c>
      <x:c r="D8" s="20" t="str">
        <x:v>优先问会改变安全、路线和商业承诺的问题</x:v>
      </x:c>
    </x:row>
    <x:row r="9" ht="50" customHeight="1">
      <x:c r="A9" s="20" t="str">
        <x:v>信息预算</x:v>
      </x:c>
      <x:c r="B9" s="20" t="str">
        <x:v>每日模块数</x:v>
      </x:c>
      <x:c r="C9" s="20" t="str">
        <x:v>精简2个；标准3个；深度4个</x:v>
      </x:c>
      <x:c r="D9" s="20" t="str">
        <x:v>超过即删除，不用缩小字体或塞一句话</x:v>
      </x:c>
    </x:row>
    <x:row r="10" ht="50" customHeight="1">
      <x:c r="A10" s="20" t="str">
        <x:v>叙事预算</x:v>
      </x:c>
      <x:c r="B10" s="20" t="str">
        <x:v>每日主叙事</x:v>
      </x:c>
      <x:c r="C10" s="20" t="str">
        <x:v>只能有1个</x:v>
      </x:c>
      <x:c r="D10" s="20" t="str">
        <x:v>其他内容必须服务主叙事或降为补充</x:v>
      </x:c>
    </x:row>
    <x:row r="11" ht="50" customHeight="1">
      <x:c r="A11" s="20" t="str">
        <x:v>引流钩子</x:v>
      </x:c>
      <x:c r="B11" s="20" t="str">
        <x:v>全程最低</x:v>
      </x:c>
      <x:c r="C11" s="20" t="str">
        <x:v>至少1个赛博/立体城市模块</x:v>
      </x:c>
      <x:c r="D11" s="20" t="str">
        <x:v>没有钩子就难以解释为什么选重庆</x:v>
      </x:c>
    </x:row>
    <x:row r="12" ht="50" customHeight="1">
      <x:c r="A12" s="20" t="str">
        <x:v>真实生活</x:v>
      </x:c>
      <x:c r="B12" s="20" t="str">
        <x:v>全程最低</x:v>
      </x:c>
      <x:c r="C12" s="20" t="str">
        <x:v>至少1个食物或社区模块</x:v>
      </x:c>
      <x:c r="D12" s="20" t="str">
        <x:v>不能全部是视觉打卡和场馆</x:v>
      </x:c>
    </x:row>
    <x:row r="13" ht="50" customHeight="1">
      <x:c r="A13" s="20" t="str">
        <x:v>深度解释</x:v>
      </x:c>
      <x:c r="B13" s="20" t="str">
        <x:v>模块内部</x:v>
      </x:c>
      <x:c r="C13" s="20" t="str">
        <x:v>每个模块只讲1个核心解释</x:v>
      </x:c>
      <x:c r="D13" s="20" t="str">
        <x:v>资料再多也不向游客倾倒</x:v>
      </x:c>
    </x:row>
    <x:row r="14" ht="50" customHeight="1">
      <x:c r="A14" s="20" t="str">
        <x:v>参与任务</x:v>
      </x:c>
      <x:c r="B14" s="20" t="str">
        <x:v>模块内部</x:v>
      </x:c>
      <x:c r="C14" s="20" t="str">
        <x:v>每个模块1个观察任务</x:v>
      </x:c>
      <x:c r="D14" s="20" t="str">
        <x:v>把游客从被动听讲变为主动发现</x:v>
      </x:c>
    </x:row>
    <x:row r="15" ht="50" customHeight="1">
      <x:c r="A15" s="20" t="str">
        <x:v>现实提醒</x:v>
      </x:c>
      <x:c r="B15" s="20" t="str">
        <x:v>模块内部</x:v>
      </x:c>
      <x:c r="C15" s="20" t="str">
        <x:v>只保留1个最高风险</x:v>
      </x:c>
      <x:c r="D15" s="20" t="str">
        <x:v>详细核验记录留在内部数据库</x:v>
      </x:c>
    </x:row>
    <x:row r="16" ht="50" customHeight="1">
      <x:c r="A16" s="20" t="str">
        <x:v>夜景去重</x:v>
      </x:c>
      <x:c r="B16" s="20" t="str">
        <x:v>全程上限</x:v>
      </x:c>
      <x:c r="C16" s="20" t="str">
        <x:v>夜景/观景最多2个模块</x:v>
      </x:c>
      <x:c r="D16" s="20" t="str">
        <x:v>洪崖洞、游船、索道、观景台不能全部给</x:v>
      </x:c>
    </x:row>
    <x:row r="17" ht="50" customHeight="1">
      <x:c r="A17" s="20" t="str">
        <x:v>老街去重</x:v>
      </x:c>
      <x:c r="B17" s="20" t="str">
        <x:v>全程上限</x:v>
      </x:c>
      <x:c r="C17" s="20" t="str">
        <x:v>更新街区/老街最多1—2个</x:v>
      </x:c>
      <x:c r="D17" s="20" t="str">
        <x:v>十八梯、磁器口、下浩里按主题选择</x:v>
      </x:c>
    </x:row>
    <x:row r="18" ht="50" customHeight="1">
      <x:c r="A18" s="20" t="str">
        <x:v>博物馆去重</x:v>
      </x:c>
      <x:c r="B18" s="20" t="str">
        <x:v>单日上限</x:v>
      </x:c>
      <x:c r="C18" s="20" t="str">
        <x:v>最多2个场馆</x:v>
      </x:c>
      <x:c r="D18" s="20" t="str">
        <x:v>连续场馆会降低体验和记忆</x:v>
      </x:c>
    </x:row>
    <x:row r="19" ht="50" customHeight="1">
      <x:c r="A19" s="20" t="str">
        <x:v>交通去重</x:v>
      </x:c>
      <x:c r="B19" s="20" t="str">
        <x:v>全程上限</x:v>
      </x:c>
      <x:c r="C19" s="20" t="str">
        <x:v>交通奇观最多2个</x:v>
      </x:c>
      <x:c r="D19" s="20" t="str">
        <x:v>2号线乘车优先于单独观景台</x:v>
      </x:c>
    </x:row>
    <x:row r="20" ht="50" customHeight="1">
      <x:c r="A20" s="20" t="str">
        <x:v>客户输出字段</x:v>
      </x:c>
      <x:c r="B20" s="20" t="str">
        <x:v>只输出</x:v>
      </x:c>
      <x:c r="C20" s="20" t="str">
        <x:v>模块名、核心节点、承诺、核心解释、任务、时长、现实提醒</x:v>
      </x:c>
      <x:c r="D20" s="20" t="str">
        <x:v>不输出分数、来源URL、内部风险讨论</x:v>
      </x:c>
    </x:row>
    <x:row r="21" ht="50" customHeight="1">
      <x:c r="A21" s="20" t="str">
        <x:v>动态信息</x:v>
      </x:c>
      <x:c r="B21" s="20" t="str">
        <x:v>发布前</x:v>
      </x:c>
      <x:c r="C21" s="20" t="str">
        <x:v>施工、开放、演出、天气、桥梁管制必须复核</x:v>
      </x:c>
      <x:c r="D21" s="20" t="str">
        <x:v>无复核就用条件句或删除</x:v>
      </x:c>
    </x:row>
    <x:row r="22" ht="50" customHeight="1">
      <x:c r="A22" s="20" t="str">
        <x:v>收费门槛</x:v>
      </x:c>
      <x:c r="B22" s="20" t="str">
        <x:v>体验类</x:v>
      </x:c>
      <x:c r="C22" s="20" t="str">
        <x:v>必须有预约、价格、人数、英文、拍摄、取消与安全规则</x:v>
      </x:c>
      <x:c r="D22" s="20" t="str">
        <x:v>不满足则只作为线索，不对外销售</x:v>
      </x:c>
    </x:row>
    <x:row r="23" ht="50" customHeight="1">
      <x:c r="A23" s="21" t="str">
        <x:v>商业承接</x:v>
      </x:c>
      <x:c r="B23" s="21" t="str">
        <x:v>购买信号</x:v>
      </x:c>
      <x:c r="C23" s="21" t="str">
        <x:v>连续询问价格、取消、付款或人工服务时进入明确报价流程</x:v>
      </x:c>
      <x:c r="D23" s="21" t="str">
        <x:v>不再继续堆免费灵感内容</x:v>
      </x:c>
    </x:row>
  </x:sheetData>
  <x:mergeCells>
    <x:mergeCell ref="A1:D1"/>
    <x:mergeCell ref="A2:D2"/>
  </x:mergeCells>
  <x:pageMargins left="0.7" right="0.7" top="0.75" bottom="0.75" header="0.3" footer="0.3"/>
  <x:tableParts count="1">
    <x:tablePart xmlns:r="http://schemas.openxmlformats.org/officeDocument/2006/relationships" r:id="R41196a8cd5a04b5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8" hidden="0" customWidth="1"/>
    <x:col min="5" max="5" width="13" hidden="0" customWidth="1"/>
    <x:col min="6" max="6" width="14" hidden="0" customWidth="1"/>
    <x:col min="7" max="7" width="15" hidden="0" customWidth="1"/>
    <x:col min="8" max="8" width="15" hidden="0" customWidth="1"/>
    <x:col min="9" max="9" width="36" hidden="0" customWidth="1"/>
    <x:col min="10" max="10" width="32" hidden="0" customWidth="1"/>
    <x:col min="11" max="11" width="36" hidden="0" customWidth="1"/>
  </x:cols>
  <x:sheetData>
    <x:row r="1" ht="32" customHeight="1">
      <x:c r="A1" s="3" t="str">
        <x:v>实地核验｜决定能不能卖</x:v>
      </x:c>
      <x:c r="B1" s="3"/>
      <x:c r="C1" s="3"/>
      <x:c r="D1" s="3"/>
      <x:c r="E1" s="3"/>
      <x:c r="F1" s="3"/>
      <x:c r="G1" s="3"/>
      <x:c r="H1" s="3"/>
      <x:c r="I1" s="3"/>
      <x:c r="J1" s="3"/>
      <x:c r="K1" s="3"/>
    </x:row>
    <x:row r="2" ht="30" customHeight="1">
      <x:c r="A2" s="7" t="str">
        <x:v>数据库中的网络研究只有完成路线、拍摄、英语、人数、价格和安全核验后，才能转为确定的游客承诺。</x:v>
      </x:c>
      <x:c r="B2" s="7"/>
      <x:c r="C2" s="7"/>
      <x:c r="D2" s="7"/>
      <x:c r="E2" s="7"/>
      <x:c r="F2" s="7"/>
      <x:c r="G2" s="7"/>
      <x:c r="H2" s="7"/>
      <x:c r="I2" s="7"/>
      <x:c r="J2" s="7"/>
      <x:c r="K2" s="7"/>
    </x:row>
    <x:row r="5" ht="34" customHeight="1">
      <x:c r="A5" s="11" t="str">
        <x:v>核验ID</x:v>
      </x:c>
      <x:c r="B5" s="11" t="str">
        <x:v>模块</x:v>
      </x:c>
      <x:c r="C5" s="11" t="str">
        <x:v>对象</x:v>
      </x:c>
      <x:c r="D5" s="11" t="str">
        <x:v>方式</x:v>
      </x:c>
      <x:c r="E5" s="11" t="str">
        <x:v>优先级</x:v>
      </x:c>
      <x:c r="F5" s="11" t="str">
        <x:v>状态</x:v>
      </x:c>
      <x:c r="G5" s="11" t="str">
        <x:v>核验人</x:v>
      </x:c>
      <x:c r="H5" s="11" t="str">
        <x:v>核验日期</x:v>
      </x:c>
      <x:c r="I5" s="11" t="str">
        <x:v>必须记录</x:v>
      </x:c>
      <x:c r="J5" s="11" t="str">
        <x:v>合格交付物</x:v>
      </x:c>
      <x:c r="K5" s="11" t="str">
        <x:v>来源URL</x:v>
      </x:c>
    </x:row>
    <x:row r="6" ht="52" customHeight="1">
      <x:c r="A6" s="19" t="str">
        <x:v>FV001</x:v>
      </x:c>
      <x:c r="B6" s="19" t="str">
        <x:v>D1</x:v>
      </x:c>
      <x:c r="C6" s="19" t="str">
        <x:v>解放碑→罗汉寺→魁星楼</x:v>
      </x:c>
      <x:c r="D6" s="19" t="str">
        <x:v>完整实走</x:v>
      </x:c>
      <x:c r="E6" s="19" t="str">
        <x:v>最高</x:v>
      </x:c>
      <x:c r="F6" s="19" t="str">
        <x:v>未开始</x:v>
      </x:c>
      <x:c r="G6" s="19"/>
      <x:c r="H6" s="19"/>
      <x:c r="I6" s="19" t="str">
        <x:v>门到门时间、入口层级、洗手间、清晨人流</x:v>
      </x:c>
      <x:c r="J6" s="19" t="str">
        <x:v>一张可执行入口图</x:v>
      </x:c>
      <x:c r="K6" s="19" t="str">
        <x:v>https://www.reddit.com/r/travelchina/comments/1t4cdvm/help_planning_chongqing/</x:v>
      </x:c>
    </x:row>
    <x:row r="7" ht="52" customHeight="1">
      <x:c r="A7" s="20" t="str">
        <x:v>FV002</x:v>
      </x:c>
      <x:c r="B7" s="20" t="str">
        <x:v>D1</x:v>
      </x:c>
      <x:c r="C7" s="20" t="str">
        <x:v>朝天门江岸</x:v>
      </x:c>
      <x:c r="D7" s="20" t="str">
        <x:v>入口核验</x:v>
      </x:c>
      <x:c r="E7" s="20" t="str">
        <x:v>最高</x:v>
      </x:c>
      <x:c r="F7" s="20" t="str">
        <x:v>未开始</x:v>
      </x:c>
      <x:c r="G7" s="20"/>
      <x:c r="H7" s="20"/>
      <x:c r="I7" s="20" t="str">
        <x:v>地铁出口到江岸、落客点、座椅、暴晒</x:v>
      </x:c>
      <x:c r="J7" s="20" t="str">
        <x:v>白天/雨天两条进入路径</x:v>
      </x:c>
      <x:c r="K7" s="20" t="str">
        <x:v>https://www.cq.gov.cn/zwgk/zfxxgkml/zdlyxxgk/ggwh/ly/zxdt/202511/t20251107_15146900.html</x:v>
      </x:c>
    </x:row>
    <x:row r="8" ht="52" customHeight="1">
      <x:c r="A8" s="20" t="str">
        <x:v>FV003</x:v>
      </x:c>
      <x:c r="B8" s="20" t="str">
        <x:v>D1</x:v>
      </x:c>
      <x:c r="C8" s="20" t="str">
        <x:v>洪崖洞→千厮门→大剧院</x:v>
      </x:c>
      <x:c r="D8" s="20" t="str">
        <x:v>夜间实走</x:v>
      </x:c>
      <x:c r="E8" s="20" t="str">
        <x:v>最高</x:v>
      </x:c>
      <x:c r="F8" s="20" t="str">
        <x:v>未开始</x:v>
      </x:c>
      <x:c r="G8" s="20"/>
      <x:c r="H8" s="20"/>
      <x:c r="I8" s="20" t="str">
        <x:v>亮灯、人流、桥面风、退出点、返程</x:v>
      </x:c>
      <x:c r="J8" s="20" t="str">
        <x:v>45分钟与90分钟两个版本</x:v>
      </x:c>
      <x:c r="K8" s="20" t="str">
        <x:v>https://www.cq.gov.cn/ywdt/jrcq/202605/t20260531_15716501_app.html</x:v>
      </x:c>
    </x:row>
    <x:row r="9" ht="52" customHeight="1">
      <x:c r="A9" s="20" t="str">
        <x:v>FV004</x:v>
      </x:c>
      <x:c r="B9" s="20" t="str">
        <x:v>D1</x:v>
      </x:c>
      <x:c r="C9" s="20" t="str">
        <x:v>无人机秀</x:v>
      </x:c>
      <x:c r="D9" s="20" t="str">
        <x:v>排期+人流</x:v>
      </x:c>
      <x:c r="E9" s="20" t="str">
        <x:v>高</x:v>
      </x:c>
      <x:c r="F9" s="20" t="str">
        <x:v>未开始</x:v>
      </x:c>
      <x:c r="G9" s="20"/>
      <x:c r="H9" s="20"/>
      <x:c r="I9" s="20" t="str">
        <x:v>观赏区、提前到达、封控、疏散、取消</x:v>
      </x:c>
      <x:c r="J9" s="20" t="str">
        <x:v>按月更新规则</x:v>
      </x:c>
      <x:c r="K9" s="20" t="str">
        <x:v>https://www.cq.gov.cn/ywdt/jrcq/202605/t20260531_15716501_app.html</x:v>
      </x:c>
    </x:row>
    <x:row r="10" ht="52" customHeight="1">
      <x:c r="A10" s="20" t="str">
        <x:v>FV005</x:v>
      </x:c>
      <x:c r="B10" s="20" t="str">
        <x:v>D2</x:v>
      </x:c>
      <x:c r="C10" s="20" t="str">
        <x:v>湖广会馆</x:v>
      </x:c>
      <x:c r="D10" s="20" t="str">
        <x:v>电话+现场</x:v>
      </x:c>
      <x:c r="E10" s="20" t="str">
        <x:v>最高</x:v>
      </x:c>
      <x:c r="F10" s="20" t="str">
        <x:v>未开始</x:v>
      </x:c>
      <x:c r="G10" s="20"/>
      <x:c r="H10" s="20"/>
      <x:c r="I10" s="20" t="str">
        <x:v>护照票务、英文导览、演出、拍摄、团体</x:v>
      </x:c>
      <x:c r="J10" s="20" t="str">
        <x:v>英语讲解可承诺范围</x:v>
      </x:c>
      <x:c r="K10" s="20" t="str">
        <x:v>https://whlyw.cq.gov.cn/hdjl_221/xzzq/202601/t20260115_15320860.html</x:v>
      </x:c>
    </x:row>
    <x:row r="11" ht="52" customHeight="1">
      <x:c r="A11" s="20" t="str">
        <x:v>FV006</x:v>
      </x:c>
      <x:c r="B11" s="20" t="str">
        <x:v>D2</x:v>
      </x:c>
      <x:c r="C11" s="20" t="str">
        <x:v>湖广会馆→东水门→白象街</x:v>
      </x:c>
      <x:c r="D11" s="20" t="str">
        <x:v>完整实走</x:v>
      </x:c>
      <x:c r="E11" s="20" t="str">
        <x:v>最高</x:v>
      </x:c>
      <x:c r="F11" s="20" t="str">
        <x:v>未开始</x:v>
      </x:c>
      <x:c r="G11" s="20"/>
      <x:c r="H11" s="20"/>
      <x:c r="I11" s="20" t="str">
        <x:v>连通路径、台阶、迷路点、历史建筑开放</x:v>
      </x:c>
      <x:c r="J11" s="20" t="str">
        <x:v>小地图和转场分钟</x:v>
      </x:c>
      <x:c r="K11" s="20" t="str">
        <x:v>https://whlyw.cq.gov.cn/zjwl/yzq/cqwlzy/zqwwzy/202405/t20240507_13182468.html</x:v>
      </x:c>
    </x:row>
    <x:row r="12" ht="52" customHeight="1">
      <x:c r="A12" s="20" t="str">
        <x:v>FV007</x:v>
      </x:c>
      <x:c r="B12" s="20" t="str">
        <x:v>D2</x:v>
      </x:c>
      <x:c r="C12" s="20" t="str">
        <x:v>白象居公共边界</x:v>
      </x:c>
      <x:c r="D12" s="20" t="str">
        <x:v>本地判断</x:v>
      </x:c>
      <x:c r="E12" s="20" t="str">
        <x:v>最高</x:v>
      </x:c>
      <x:c r="F12" s="20" t="str">
        <x:v>未开始</x:v>
      </x:c>
      <x:c r="G12" s="20"/>
      <x:c r="H12" s="20"/>
      <x:c r="I12" s="20" t="str">
        <x:v>公共通道、消防、居民隐私、摄影边界</x:v>
      </x:c>
      <x:c r="J12" s="20" t="str">
        <x:v>明确可走/不可走清单</x:v>
      </x:c>
      <x:c r="K12" s="20" t="str">
        <x:v>https://eprints.whiterose.ac.uk/id/eprint/185301/</x:v>
      </x:c>
    </x:row>
    <x:row r="13" ht="52" customHeight="1">
      <x:c r="A13" s="20" t="str">
        <x:v>FV008</x:v>
      </x:c>
      <x:c r="B13" s="20" t="str">
        <x:v>D2</x:v>
      </x:c>
      <x:c r="C13" s="20" t="str">
        <x:v>通远门→山城巷自上而下</x:v>
      </x:c>
      <x:c r="D13" s="20" t="str">
        <x:v>完整实走</x:v>
      </x:c>
      <x:c r="E13" s="20" t="str">
        <x:v>最高</x:v>
      </x:c>
      <x:c r="F13" s="20" t="str">
        <x:v>未开始</x:v>
      </x:c>
      <x:c r="G13" s="20"/>
      <x:c r="H13" s="20"/>
      <x:c r="I13" s="20" t="str">
        <x:v>步数、坡度、座椅、饮水、厕所、退出点</x:v>
      </x:c>
      <x:c r="J13" s="20" t="str">
        <x:v>高体力与中体力版本</x:v>
      </x:c>
      <x:c r="K13" s="20" t="str">
        <x:v>https://www.shplanning.com.cn/archive/download/id/487.html</x:v>
      </x:c>
    </x:row>
    <x:row r="14" ht="52" customHeight="1">
      <x:c r="A14" s="20" t="str">
        <x:v>FV009</x:v>
      </x:c>
      <x:c r="B14" s="20" t="str">
        <x:v>D2</x:v>
      </x:c>
      <x:c r="C14" s="20" t="str">
        <x:v>十八梯</x:v>
      </x:c>
      <x:c r="D14" s="20" t="str">
        <x:v>取舍测试</x:v>
      </x:c>
      <x:c r="E14" s="20" t="str">
        <x:v>中</x:v>
      </x:c>
      <x:c r="F14" s="20" t="str">
        <x:v>未开始</x:v>
      </x:c>
      <x:c r="G14" s="20"/>
      <x:c r="H14" s="20"/>
      <x:c r="I14" s="20" t="str">
        <x:v>只通行30分钟是否足够、拥挤阈值</x:v>
      </x:c>
      <x:c r="J14" s="20" t="str">
        <x:v>保留或删除决定</x:v>
      </x:c>
      <x:c r="K14" s="20" t="str">
        <x:v>https://ghzrzyj.cq.gov.cn/bsfw_186/dtfw/mzyt/202511/t20251124_15184222_wap.html</x:v>
      </x:c>
    </x:row>
    <x:row r="15" ht="52" customHeight="1">
      <x:c r="A15" s="20" t="str">
        <x:v>FV010</x:v>
      </x:c>
      <x:c r="B15" s="20" t="str">
        <x:v>D2</x:v>
      </x:c>
      <x:c r="C15" s="20" t="str">
        <x:v>大轰炸遗址陈列馆</x:v>
      </x:c>
      <x:c r="D15" s="20" t="str">
        <x:v>内容核验</x:v>
      </x:c>
      <x:c r="E15" s="20" t="str">
        <x:v>高</x:v>
      </x:c>
      <x:c r="F15" s="20" t="str">
        <x:v>未开始</x:v>
      </x:c>
      <x:c r="G15" s="20"/>
      <x:c r="H15" s="20"/>
      <x:c r="I15" s="20" t="str">
        <x:v>英文、适龄、情绪强度、开放</x:v>
      </x:c>
      <x:c r="J15" s="20" t="str">
        <x:v>内容预警与恢复安排</x:v>
      </x:c>
      <x:c r="K15" s="20" t="str">
        <x:v>https://whlyw.cq.gov.cn/zwxx_221/bmdt/tzgg/202601/t20260115_15320690.html</x:v>
      </x:c>
    </x:row>
    <x:row r="16" ht="52" customHeight="1">
      <x:c r="A16" s="20" t="str">
        <x:v>FV011</x:v>
      </x:c>
      <x:c r="B16" s="20" t="str">
        <x:v>D3</x:v>
      </x:c>
      <x:c r="C16" s="20" t="str">
        <x:v>三峡博物馆</x:v>
      </x:c>
      <x:c r="D16" s="20" t="str">
        <x:v>护照+展厅</x:v>
      </x:c>
      <x:c r="E16" s="20" t="str">
        <x:v>最高</x:v>
      </x:c>
      <x:c r="F16" s="20" t="str">
        <x:v>未开始</x:v>
      </x:c>
      <x:c r="G16" s="20"/>
      <x:c r="H16" s="20"/>
      <x:c r="I16" s="20" t="str">
        <x:v>护照入馆、英文展签、3个核心展厅、周一替代</x:v>
      </x:c>
      <x:c r="J16" s="20" t="str">
        <x:v>90/150分钟版本</x:v>
      </x:c>
      <x:c r="K16" s="20" t="str">
        <x:v>https://www.3gmuseum.cn/web/article/1430010139317059584/web/content_1430010139317059584.html</x:v>
      </x:c>
    </x:row>
    <x:row r="17" ht="52" customHeight="1">
      <x:c r="A17" s="20" t="str">
        <x:v>FV012</x:v>
      </x:c>
      <x:c r="B17" s="20" t="str">
        <x:v>D3</x:v>
      </x:c>
      <x:c r="C17" s="20" t="str">
        <x:v>中山四路三馆</x:v>
      </x:c>
      <x:c r="D17" s="20" t="str">
        <x:v>逐馆核验</x:v>
      </x:c>
      <x:c r="E17" s="20" t="str">
        <x:v>最高</x:v>
      </x:c>
      <x:c r="F17" s="20" t="str">
        <x:v>未开始</x:v>
      </x:c>
      <x:c r="G17" s="20"/>
      <x:c r="H17" s="20"/>
      <x:c r="I17" s="20" t="str">
        <x:v>开放日、安检、英文、拍摄、连线</x:v>
      </x:c>
      <x:c r="J17" s="20" t="str">
        <x:v>周一与普通日两个版本</x:v>
      </x:c>
      <x:c r="K17" s="20" t="str">
        <x:v>https://www.cqyz.gov.cn/zjyz/lyyz/rmdkd/202210/t20221005_11164444.html</x:v>
      </x:c>
    </x:row>
    <x:row r="18" ht="52" customHeight="1">
      <x:c r="A18" s="20" t="str">
        <x:v>FV013</x:v>
      </x:c>
      <x:c r="B18" s="20" t="str">
        <x:v>D3</x:v>
      </x:c>
      <x:c r="C18" s="20" t="str">
        <x:v>史迪威博物馆</x:v>
      </x:c>
      <x:c r="D18" s="20" t="str">
        <x:v>电话+现场</x:v>
      </x:c>
      <x:c r="E18" s="20" t="str">
        <x:v>最高</x:v>
      </x:c>
      <x:c r="F18" s="20" t="str">
        <x:v>未开始</x:v>
      </x:c>
      <x:c r="G18" s="20"/>
      <x:c r="H18" s="20"/>
      <x:c r="I18" s="20" t="str">
        <x:v>英文讲解、预约、展览、团队、拍摄</x:v>
      </x:c>
      <x:c r="J18" s="20" t="str">
        <x:v>国际客群讲解模块</x:v>
      </x:c>
      <x:c r="K18" s="20" t="str">
        <x:v>https://www.cq.gov.cn/zwgk/zfxxgkml/zdlyxxgk/ggwh/wh/zxdt/202605/t20260518_15684252.html</x:v>
      </x:c>
    </x:row>
    <x:row r="19" ht="52" customHeight="1">
      <x:c r="A19" s="20" t="str">
        <x:v>FV014</x:v>
      </x:c>
      <x:c r="B19" s="20" t="str">
        <x:v>D3</x:v>
      </x:c>
      <x:c r="C19" s="20" t="str">
        <x:v>2号线乘车</x:v>
      </x:c>
      <x:c r="D19" s="20" t="str">
        <x:v>实测</x:v>
      </x:c>
      <x:c r="E19" s="20" t="str">
        <x:v>最高</x:v>
      </x:c>
      <x:c r="F19" s="20" t="str">
        <x:v>未开始</x:v>
      </x:c>
      <x:c r="G19" s="20"/>
      <x:c r="H19" s="20"/>
      <x:c r="I19" s="20" t="str">
        <x:v>方向、车厢、时段、沿途观察点</x:v>
      </x:c>
      <x:c r="J19" s="20" t="str">
        <x:v>车内观察脚本</x:v>
      </x:c>
      <x:c r="K19" s="20" t="str">
        <x:v>https://www.cq.gov.cn/ywdt/jrcq/202605/t20260528_15709853.html</x:v>
      </x:c>
    </x:row>
    <x:row r="20" ht="52" customHeight="1">
      <x:c r="A20" s="20" t="str">
        <x:v>FV015</x:v>
      </x:c>
      <x:c r="B20" s="20" t="str">
        <x:v>D3</x:v>
      </x:c>
      <x:c r="C20" s="20" t="str">
        <x:v>李子坝施工</x:v>
      </x:c>
      <x:c r="D20" s="20" t="str">
        <x:v>每月复核</x:v>
      </x:c>
      <x:c r="E20" s="20" t="str">
        <x:v>最高</x:v>
      </x:c>
      <x:c r="F20" s="20" t="str">
        <x:v>未开始</x:v>
      </x:c>
      <x:c r="G20" s="20"/>
      <x:c r="H20" s="20"/>
      <x:c r="I20" s="20" t="str">
        <x:v>出入口、扶梯、封闭区、观景台动线</x:v>
      </x:c>
      <x:c r="J20" s="20" t="str">
        <x:v>2026-12-30前动态提示</x:v>
      </x:c>
      <x:c r="K20" s="20" t="str">
        <x:v>https://www.cq.gov.cn/ywdt/jrcq/202606/t20260613_15751500.html</x:v>
      </x:c>
    </x:row>
    <x:row r="21" ht="52" customHeight="1">
      <x:c r="A21" s="20" t="str">
        <x:v>FV016</x:v>
      </x:c>
      <x:c r="B21" s="20" t="str">
        <x:v>D3</x:v>
      </x:c>
      <x:c r="C21" s="20" t="str">
        <x:v>鹅岭公园</x:v>
      </x:c>
      <x:c r="D21" s="20" t="str">
        <x:v>时段测试</x:v>
      </x:c>
      <x:c r="E21" s="20" t="str">
        <x:v>中</x:v>
      </x:c>
      <x:c r="F21" s="20" t="str">
        <x:v>未开始</x:v>
      </x:c>
      <x:c r="G21" s="20"/>
      <x:c r="H21" s="20"/>
      <x:c r="I21" s="20" t="str">
        <x:v>瞰胜楼开放、日落、雾、座椅、返程</x:v>
      </x:c>
      <x:c r="J21" s="20" t="str">
        <x:v>能见度删除规则</x:v>
      </x:c>
      <x:c r="K21" s="20" t="str">
        <x:v>https://ghzrzyj.cq.gov.cn/ztlm_186/ghgb/zxgh/202507/P020250716371670706300.pdf</x:v>
      </x:c>
    </x:row>
    <x:row r="22" ht="52" customHeight="1">
      <x:c r="A22" s="20" t="str">
        <x:v>FV017</x:v>
      </x:c>
      <x:c r="B22" s="20" t="str">
        <x:v>D4A</x:v>
      </x:c>
      <x:c r="C22" s="20" t="str">
        <x:v>开埠遗址公园</x:v>
      </x:c>
      <x:c r="D22" s="20" t="str">
        <x:v>电话+现场</x:v>
      </x:c>
      <x:c r="E22" s="20" t="str">
        <x:v>最高</x:v>
      </x:c>
      <x:c r="F22" s="20" t="str">
        <x:v>未开始</x:v>
      </x:c>
      <x:c r="G22" s="20"/>
      <x:c r="H22" s="20"/>
      <x:c r="I22" s="20" t="str">
        <x:v>开放建筑、展陈英文、票务、导览</x:v>
      </x:c>
      <x:c r="J22" s="20" t="str">
        <x:v>90分钟内容线</x:v>
      </x:c>
      <x:c r="K22" s="20" t="str">
        <x:v>https://www.cq.gov.cn/ywdt/jrcq/202605/t20260506_15650945.html</x:v>
      </x:c>
    </x:row>
    <x:row r="23" ht="52" customHeight="1">
      <x:c r="A23" s="20" t="str">
        <x:v>FV018</x:v>
      </x:c>
      <x:c r="B23" s="20" t="str">
        <x:v>D4A</x:v>
      </x:c>
      <x:c r="C23" s="20" t="str">
        <x:v>黄葛古道</x:v>
      </x:c>
      <x:c r="D23" s="20" t="str">
        <x:v>完整实走</x:v>
      </x:c>
      <x:c r="E23" s="20" t="str">
        <x:v>最高</x:v>
      </x:c>
      <x:c r="F23" s="20" t="str">
        <x:v>未开始</x:v>
      </x:c>
      <x:c r="G23" s="20"/>
      <x:c r="H23" s="20"/>
      <x:c r="I23" s="20" t="str">
        <x:v>上/下行差异、坡度、补水、厕所、退出</x:v>
      </x:c>
      <x:c r="J23" s="20" t="str">
        <x:v>徒步风险分级</x:v>
      </x:c>
      <x:c r="K23" s="20" t="str">
        <x:v>https://www.shplanning.com.cn/archive/download/id/487.html</x:v>
      </x:c>
    </x:row>
    <x:row r="24" ht="52" customHeight="1">
      <x:c r="A24" s="20" t="str">
        <x:v>FV019</x:v>
      </x:c>
      <x:c r="B24" s="20" t="str">
        <x:v>D4A</x:v>
      </x:c>
      <x:c r="C24" s="20" t="str">
        <x:v>黄桷垭午餐与返程</x:v>
      </x:c>
      <x:c r="D24" s="20" t="str">
        <x:v>供应核验</x:v>
      </x:c>
      <x:c r="E24" s="20" t="str">
        <x:v>高</x:v>
      </x:c>
      <x:c r="F24" s="20" t="str">
        <x:v>未开始</x:v>
      </x:c>
      <x:c r="G24" s="20"/>
      <x:c r="H24" s="20"/>
      <x:c r="I24" s="20" t="str">
        <x:v>餐饮、非辣、座位、打车、公交</x:v>
      </x:c>
      <x:c r="J24" s="20" t="str">
        <x:v>恢复节点清单</x:v>
      </x:c>
      <x:c r="K24" s="20" t="str">
        <x:v>https://ghzrzyj.cq.gov.cn/bsfw_186/dtfw/mzyt/202511/t20251124_15184222_wap.html</x:v>
      </x:c>
    </x:row>
    <x:row r="25" ht="52" customHeight="1">
      <x:c r="A25" s="20" t="str">
        <x:v>FV020</x:v>
      </x:c>
      <x:c r="B25" s="20" t="str">
        <x:v>D4A</x:v>
      </x:c>
      <x:c r="C25" s="20" t="str">
        <x:v>龙门浩—下浩里</x:v>
      </x:c>
      <x:c r="D25" s="20" t="str">
        <x:v>完整实走</x:v>
      </x:c>
      <x:c r="E25" s="20" t="str">
        <x:v>最高</x:v>
      </x:c>
      <x:c r="F25" s="20" t="str">
        <x:v>未开始</x:v>
      </x:c>
      <x:c r="G25" s="20"/>
      <x:c r="H25" s="20"/>
      <x:c r="I25" s="20" t="str">
        <x:v>上层低体力入口、台阶、日落、夜归</x:v>
      </x:c>
      <x:c r="J25" s="20" t="str">
        <x:v>高/低体力双动线</x:v>
      </x:c>
      <x:c r="K25" s="20" t="str">
        <x:v>https://www.cq.gov.cn/ywdt/zwhd/bmdt/202511/t20251113_15160016.html</x:v>
      </x:c>
    </x:row>
    <x:row r="26" ht="52" customHeight="1">
      <x:c r="A26" s="20" t="str">
        <x:v>FV021</x:v>
      </x:c>
      <x:c r="B26" s="20" t="str">
        <x:v>D4B</x:v>
      </x:c>
      <x:c r="C26" s="20" t="str">
        <x:v>交通茶馆</x:v>
      </x:c>
      <x:c r="D26" s="20" t="str">
        <x:v>商户访谈</x:v>
      </x:c>
      <x:c r="E26" s="20" t="str">
        <x:v>最高</x:v>
      </x:c>
      <x:c r="F26" s="20" t="str">
        <x:v>未开始</x:v>
      </x:c>
      <x:c r="G26" s="20"/>
      <x:c r="H26" s="20"/>
      <x:c r="I26" s="20" t="str">
        <x:v>团队人数、拍摄、价格、英语、取消</x:v>
      </x:c>
      <x:c r="J26" s="20" t="str">
        <x:v>摄影伦理和接待规则</x:v>
      </x:c>
      <x:c r="K26" s="20" t="str">
        <x:v>https://mzj.cq.gov.cn/sy_218/bmdt/mzyw/t_14233171.html</x:v>
      </x:c>
    </x:row>
    <x:row r="27" ht="52" customHeight="1">
      <x:c r="A27" s="20" t="str">
        <x:v>FV022</x:v>
      </x:c>
      <x:c r="B27" s="20" t="str">
        <x:v>D4B</x:v>
      </x:c>
      <x:c r="C27" s="20" t="str">
        <x:v>黄桷坪—川美周边</x:v>
      </x:c>
      <x:c r="D27" s="20" t="str">
        <x:v>现场+校方</x:v>
      </x:c>
      <x:c r="E27" s="20" t="str">
        <x:v>高</x:v>
      </x:c>
      <x:c r="F27" s="20" t="str">
        <x:v>未开始</x:v>
      </x:c>
      <x:c r="G27" s="20"/>
      <x:c r="H27" s="20"/>
      <x:c r="I27" s="20" t="str">
        <x:v>校园开放、展览、墙面更新、洗手间</x:v>
      </x:c>
      <x:c r="J27" s="20" t="str">
        <x:v>艺术客群模块</x:v>
      </x:c>
      <x:c r="K27" s="20" t="str">
        <x:v>https://mzj.cq.gov.cn/sy_218/bmdt/mzyw/t_14233171.html</x:v>
      </x:c>
    </x:row>
    <x:row r="28" ht="52" customHeight="1">
      <x:c r="A28" s="20" t="str">
        <x:v>FV023</x:v>
      </x:c>
      <x:c r="B28" s="20" t="str">
        <x:v>D4B</x:v>
      </x:c>
      <x:c r="C28" s="20" t="str">
        <x:v>建川博物馆聚落</x:v>
      </x:c>
      <x:c r="D28" s="20" t="str">
        <x:v>完整实走</x:v>
      </x:c>
      <x:c r="E28" s="20" t="str">
        <x:v>高</x:v>
      </x:c>
      <x:c r="F28" s="20" t="str">
        <x:v>未开始</x:v>
      </x:c>
      <x:c r="G28" s="20"/>
      <x:c r="H28" s="20"/>
      <x:c r="I28" s="20" t="str">
        <x:v>票务、英文、洞内温湿度、儿童、台阶</x:v>
      </x:c>
      <x:c r="J28" s="20" t="str">
        <x:v>120/180分钟版本</x:v>
      </x:c>
      <x:c r="K28" s="20" t="str">
        <x:v>https://whlyw.cq.gov.cn/hdjl_221/xzzq/202601/t20260115_15320860.html</x:v>
      </x:c>
    </x:row>
    <x:row r="29" ht="52" customHeight="1">
      <x:c r="A29" s="20" t="str">
        <x:v>FV024</x:v>
      </x:c>
      <x:c r="B29" s="20" t="str">
        <x:v>食物</x:v>
      </x:c>
      <x:c r="C29" s="20" t="str">
        <x:v>小面候选6家</x:v>
      </x:c>
      <x:c r="D29" s="20" t="str">
        <x:v>暗访/点单</x:v>
      </x:c>
      <x:c r="E29" s="20" t="str">
        <x:v>高</x:v>
      </x:c>
      <x:c r="F29" s="20" t="str">
        <x:v>未开始</x:v>
      </x:c>
      <x:c r="G29" s="20"/>
      <x:c r="H29" s="20"/>
      <x:c r="I29" s="20" t="str">
        <x:v>外籍独立点单、辣度、卫生、支付、座位</x:v>
      </x:c>
      <x:c r="J29" s="20" t="str">
        <x:v>住宿区早餐地图</x:v>
      </x:c>
      <x:c r="K29" s="20" t="str">
        <x:v>https://whlyw.cq.gov.cn/zwgk_221/zfgkzcwj/qtwj/202607/t20260709_15810099.html</x:v>
      </x:c>
    </x:row>
    <x:row r="30" ht="52" customHeight="1">
      <x:c r="A30" s="20" t="str">
        <x:v>FV025</x:v>
      </x:c>
      <x:c r="B30" s="20" t="str">
        <x:v>食物</x:v>
      </x:c>
      <x:c r="C30" s="20" t="str">
        <x:v>火锅候选3家</x:v>
      </x:c>
      <x:c r="D30" s="20" t="str">
        <x:v>试吃+访谈</x:v>
      </x:c>
      <x:c r="E30" s="20" t="str">
        <x:v>最高</x:v>
      </x:c>
      <x:c r="F30" s="20" t="str">
        <x:v>未开始</x:v>
      </x:c>
      <x:c r="G30" s="20"/>
      <x:c r="H30" s="20"/>
      <x:c r="I30" s="20" t="str">
        <x:v>英语、过敏、素食、价格、拍摄、取消、安全</x:v>
      </x:c>
      <x:c r="J30" s="20" t="str">
        <x:v>可预约火锅体验SOP</x:v>
      </x:c>
      <x:c r="K30" s="20" t="str">
        <x:v>https://whlyw.cq.gov.cn/zwgk_221/zfgkzcwj/qtwj/202607/t20260709_15810099.html</x:v>
      </x:c>
    </x:row>
    <x:row r="31" ht="52" customHeight="1">
      <x:c r="A31" s="20" t="str">
        <x:v>FV026</x:v>
      </x:c>
      <x:c r="B31" s="20" t="str">
        <x:v>夜间</x:v>
      </x:c>
      <x:c r="C31" s="20" t="str">
        <x:v>川剧/地方演出</x:v>
      </x:c>
      <x:c r="D31" s="20" t="str">
        <x:v>机构访谈</x:v>
      </x:c>
      <x:c r="E31" s="20" t="str">
        <x:v>高</x:v>
      </x:c>
      <x:c r="F31" s="20" t="str">
        <x:v>未开始</x:v>
      </x:c>
      <x:c r="G31" s="20"/>
      <x:c r="H31" s="20"/>
      <x:c r="I31" s="20" t="str">
        <x:v>英语、资历、后台互动、人数、价格、影像权</x:v>
      </x:c>
      <x:c r="J31" s="20" t="str">
        <x:v>雨天/夜间产品模块</x:v>
      </x:c>
      <x:c r="K31" s="20" t="str">
        <x:v>https://whlyw.cq.gov.cn/hdjl_221/xzzq/202601/t20260115_15320860.html</x:v>
      </x:c>
    </x:row>
    <x:row r="32" ht="52" customHeight="1">
      <x:c r="A32" s="20" t="str">
        <x:v>FV027</x:v>
      </x:c>
      <x:c r="B32" s="20" t="str">
        <x:v>通用</x:v>
      </x:c>
      <x:c r="C32" s="20" t="str">
        <x:v>Google/高德/百度坐标对照</x:v>
      </x:c>
      <x:c r="D32" s="20" t="str">
        <x:v>逐点测试</x:v>
      </x:c>
      <x:c r="E32" s="20" t="str">
        <x:v>最高</x:v>
      </x:c>
      <x:c r="F32" s="20" t="str">
        <x:v>未开始</x:v>
      </x:c>
      <x:c r="G32" s="20"/>
      <x:c r="H32" s="20"/>
      <x:c r="I32" s="20" t="str">
        <x:v>中文名、坐标、入口照片、出口、高差</x:v>
      </x:c>
      <x:c r="J32" s="20" t="str">
        <x:v>外国游客导航卡</x:v>
      </x:c>
      <x:c r="K32" s="20" t="str">
        <x:v>https://www.reddit.com/r/travelchina/comments/1t4cdvm/help_planning_chongqing/</x:v>
      </x:c>
    </x:row>
    <x:row r="33" ht="52" customHeight="1">
      <x:c r="A33" s="20" t="str">
        <x:v>FV028</x:v>
      </x:c>
      <x:c r="B33" s="20" t="str">
        <x:v>通用</x:v>
      </x:c>
      <x:c r="C33" s="20" t="str">
        <x:v>低台阶平行路线</x:v>
      </x:c>
      <x:c r="D33" s="20" t="str">
        <x:v>陪同实走</x:v>
      </x:c>
      <x:c r="E33" s="20" t="str">
        <x:v>高</x:v>
      </x:c>
      <x:c r="F33" s="20" t="str">
        <x:v>未开始</x:v>
      </x:c>
      <x:c r="G33" s="20"/>
      <x:c r="H33" s="20"/>
      <x:c r="I33" s="20" t="str">
        <x:v>轮椅/婴儿车、电梯、落客、座椅、厕所</x:v>
      </x:c>
      <x:c r="J33" s="20" t="str">
        <x:v>第二版低体力路线</x:v>
      </x:c>
      <x:c r="K33" s="20" t="str">
        <x:v>https://www.shplanning.com.cn/archive/download/id/487.html</x:v>
      </x:c>
    </x:row>
    <x:row r="34" ht="52" customHeight="1">
      <x:c r="A34" s="20" t="str">
        <x:v>FV029</x:v>
      </x:c>
      <x:c r="B34" s="20" t="str">
        <x:v>住宿</x:v>
      </x:c>
      <x:c r="C34" s="20" t="str">
        <x:v>解放碑/小什字落客</x:v>
      </x:c>
      <x:c r="D34" s="20" t="str">
        <x:v>酒店核验</x:v>
      </x:c>
      <x:c r="E34" s="20" t="str">
        <x:v>高</x:v>
      </x:c>
      <x:c r="F34" s="20" t="str">
        <x:v>未开始</x:v>
      </x:c>
      <x:c r="G34" s="20"/>
      <x:c r="H34" s="20"/>
      <x:c r="I34" s="20" t="str">
        <x:v>行李、车辆、坡度、24小时前台、外卡</x:v>
      </x:c>
      <x:c r="J34" s="20" t="str">
        <x:v>住宿基地区域清单</x:v>
      </x:c>
      <x:c r="K34" s="20" t="str">
        <x:v>https://www.cqyz.gov.cn/bm_229/qwhlyw/zwxx_97154/dt/202606/t20260605_15733979.html</x:v>
      </x:c>
    </x:row>
    <x:row r="35" ht="52" customHeight="1">
      <x:c r="A35" s="21" t="str">
        <x:v>FV030</x:v>
      </x:c>
      <x:c r="B35" s="21" t="str">
        <x:v>全程</x:v>
      </x:c>
      <x:c r="C35" s="21" t="str">
        <x:v>外国游客小样测试</x:v>
      </x:c>
      <x:c r="D35" s="21" t="str">
        <x:v>可用性测试</x:v>
      </x:c>
      <x:c r="E35" s="21" t="str">
        <x:v>最高</x:v>
      </x:c>
      <x:c r="F35" s="21" t="str">
        <x:v>未开始</x:v>
      </x:c>
      <x:c r="G35" s="21"/>
      <x:c r="H35" s="21"/>
      <x:c r="I35" s="21" t="str">
        <x:v>迷路、理解、疲劳、支付、内容记忆</x:v>
      </x:c>
      <x:c r="J35" s="21" t="str">
        <x:v>3—5人测试报告</x:v>
      </x:c>
      <x:c r="K35" s="21" t="str">
        <x:v>https://www.reddit.com/r/travelchina/comments/1v4olqp/thoughts_on_my_chongqing_itinerary/</x:v>
      </x:c>
    </x:row>
  </x:sheetData>
  <x:mergeCells>
    <x:mergeCell ref="A1:K1"/>
    <x:mergeCell ref="A2:K2"/>
  </x:mergeCells>
  <x:conditionalFormatting sqref="F6:F35">
    <x:cfRule type="containsText" dxfId="0" priority="1" operator="containsText" text="通过"/>
    <x:cfRule type="containsText" dxfId="1" priority="2" operator="containsText" text="不通过"/>
  </x:conditionalFormatting>
  <x:dataValidations count="1">
    <x:dataValidation type="list" sqref="F6:F35">
      <x:formula1>"未开始,进行中,通过,不通过,待复核"</x:formula1>
    </x:dataValidation>
  </x:dataValidations>
  <x:pageMargins left="0.7" right="0.7" top="0.75" bottom="0.75" header="0.3" footer="0.3"/>
  <x:tableParts count="1">
    <x:tablePart xmlns:r="http://schemas.openxmlformats.org/officeDocument/2006/relationships" r:id="Rede15c0a86b34631"/>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7" hidden="0" customWidth="1"/>
    <x:col min="4" max="4" width="34" hidden="0" customWidth="1"/>
    <x:col min="5" max="5" width="22" hidden="0" customWidth="1"/>
    <x:col min="6" max="6" width="42" hidden="0" customWidth="1"/>
    <x:col min="7" max="7" width="10" hidden="0" customWidth="1"/>
    <x:col min="8" max="8" width="14" hidden="0" customWidth="1"/>
    <x:col min="9" max="9" width="14" hidden="0" customWidth="1"/>
    <x:col min="10" max="10" width="14" hidden="0" customWidth="1"/>
    <x:col min="11" max="11" width="48" hidden="0" customWidth="1"/>
    <x:col min="12" max="12" width="42" hidden="0" customWidth="1"/>
    <x:col min="13" max="13" width="40" hidden="0" customWidth="1"/>
    <x:col min="14" max="14" width="37" hidden="0" customWidth="1"/>
    <x:col min="15" max="15" width="39" hidden="0" customWidth="1"/>
    <x:col min="16" max="16" width="35" hidden="0" customWidth="1"/>
  </x:cols>
  <x:sheetData>
    <x:row r="1" ht="32" customHeight="1">
      <x:c r="A1" s="3" t="str">
        <x:v>首发核验｜10项通过后才进入付费内测</x:v>
      </x:c>
      <x:c r="B1" s="3"/>
      <x:c r="C1" s="3"/>
      <x:c r="D1" s="3"/>
      <x:c r="E1" s="3"/>
      <x:c r="F1" s="3"/>
      <x:c r="G1" s="3"/>
      <x:c r="H1" s="3"/>
      <x:c r="I1" s="3"/>
      <x:c r="J1" s="3"/>
      <x:c r="K1" s="3"/>
      <x:c r="L1" s="3"/>
      <x:c r="M1" s="3"/>
      <x:c r="N1" s="3"/>
      <x:c r="O1" s="3"/>
      <x:c r="P1" s="3"/>
    </x:row>
    <x:row r="2" ht="30" customHeight="1">
      <x:c r="A2" s="7" t="str">
        <x:v>从原30项中只保留会直接决定重庆三日路书和三项体验能否履约的首发任务。网络资料不是通过证据，必须留存轨迹、照片、记录或书面确认。</x:v>
      </x:c>
      <x:c r="B2" s="7"/>
      <x:c r="C2" s="7"/>
      <x:c r="D2" s="7"/>
      <x:c r="E2" s="7"/>
      <x:c r="F2" s="7"/>
      <x:c r="G2" s="7"/>
      <x:c r="H2" s="7"/>
      <x:c r="I2" s="7"/>
      <x:c r="J2" s="7"/>
      <x:c r="K2" s="7"/>
      <x:c r="L2" s="7"/>
      <x:c r="M2" s="7"/>
      <x:c r="N2" s="7"/>
      <x:c r="O2" s="7"/>
      <x:c r="P2" s="7"/>
    </x:row>
    <x:row r="5" ht="34" customHeight="1">
      <x:c r="A5" s="11" t="str">
        <x:v>首发ID</x:v>
      </x:c>
      <x:c r="B5" s="11" t="str">
        <x:v>原核验ID</x:v>
      </x:c>
      <x:c r="C5" s="11" t="str">
        <x:v>对应产品</x:v>
      </x:c>
      <x:c r="D5" s="11" t="str">
        <x:v>核验对象</x:v>
      </x:c>
      <x:c r="E5" s="11" t="str">
        <x:v>核验方式</x:v>
      </x:c>
      <x:c r="F5" s="11" t="str">
        <x:v>为何首发必须</x:v>
      </x:c>
      <x:c r="G5" s="11" t="str">
        <x:v>优先级</x:v>
      </x:c>
      <x:c r="H5" s="11" t="str">
        <x:v>负责人</x:v>
      </x:c>
      <x:c r="I5" s="11" t="str">
        <x:v>计划日期</x:v>
      </x:c>
      <x:c r="J5" s="11" t="str">
        <x:v>状态</x:v>
      </x:c>
      <x:c r="K5" s="11" t="str">
        <x:v>通过标准</x:v>
      </x:c>
      <x:c r="L5" s="11" t="str">
        <x:v>必须留存证据</x:v>
      </x:c>
      <x:c r="M5" s="11" t="str">
        <x:v>阻断条件</x:v>
      </x:c>
      <x:c r="N5" s="11" t="str">
        <x:v>下一步</x:v>
      </x:c>
      <x:c r="O5" s="11" t="str">
        <x:v>来源URL</x:v>
      </x:c>
      <x:c r="P5" s="11" t="str">
        <x:v>备注</x:v>
      </x:c>
    </x:row>
    <x:row r="6" ht="78" customHeight="1">
      <x:c r="A6" s="19" t="str">
        <x:v>LFV001</x:v>
      </x:c>
      <x:c r="B6" s="19" t="str">
        <x:v>FV001|FV003</x:v>
      </x:c>
      <x:c r="C6" s="19" t="str">
        <x:v>EXP-CQ-001</x:v>
      </x:c>
      <x:c r="D6" s="19" t="str">
        <x:v>解放碑—魁星楼—洪崖洞外观—大剧院江岸</x:v>
      </x:c>
      <x:c r="E6" s="19" t="str">
        <x:v>白天完整实走+夜间复走</x:v>
      </x:c>
      <x:c r="F6" s="19" t="str">
        <x:v>验证重庆最核心的多重地面与夜景承诺是否能在半天内稳定完成。</x:v>
      </x:c>
      <x:c r="G6" s="19" t="str">
        <x:v>P0</x:v>
      </x:c>
      <x:c r="H6" s="19"/>
      <x:c r="I6" s="19"/>
      <x:c r="J6" s="19" t="str">
        <x:v>未开始</x:v>
      </x:c>
      <x:c r="K6" s="19" t="str">
        <x:v>形成高/中/低体力三档；记录门到门时间、正确入口、拥挤点、厕所、退出点和返程。</x:v>
      </x:c>
      <x:c r="L6" s="19" t="str">
        <x:v>轨迹、入口/出口照片、楼层截图、分段分钟、人流视频</x:v>
      </x:c>
      <x:c r="M6" s="19" t="str">
        <x:v>任一关键连接只能依赖临时穿行、私人空间或高风险边缘。</x:v>
      </x:c>
      <x:c r="N6" s="19" t="str">
        <x:v>先按中等体力在工作日实走，再周末夜间复测。</x:v>
      </x:c>
      <x:c r="O6" s="19" t="str">
        <x:v>https://www.reddit.com/r/travelchina/comments/1t4cdvm/help_planning_chongqing/</x:v>
      </x:c>
      <x:c r="P6" s="19" t="str">
        <x:v>洪崖洞只验证外部读图与转场，不以逛完整个商业体为目标。</x:v>
      </x:c>
    </x:row>
    <x:row r="7" ht="78" customHeight="1">
      <x:c r="A7" s="20" t="str">
        <x:v>LFV002</x:v>
      </x:c>
      <x:c r="B7" s="20" t="str">
        <x:v>FV002</x:v>
      </x:c>
      <x:c r="C7" s="20" t="str">
        <x:v>EXP-CQ-001</x:v>
      </x:c>
      <x:c r="D7" s="20" t="str">
        <x:v>朝天门江岸与两江方向</x:v>
      </x:c>
      <x:c r="E7" s="20" t="str">
        <x:v>白天+雨天入口核验</x:v>
      </x:c>
      <x:c r="F7" s="20" t="str">
        <x:v>朝天门承担城市门户解释，入口错误会直接放大体力和时间成本。</x:v>
      </x:c>
      <x:c r="G7" s="20" t="str">
        <x:v>P0</x:v>
      </x:c>
      <x:c r="H7" s="20"/>
      <x:c r="I7" s="20"/>
      <x:c r="J7" s="20" t="str">
        <x:v>未开始</x:v>
      </x:c>
      <x:c r="K7" s="20" t="str">
        <x:v>形成普通天气和雨天两条进入路径，明确地铁出口、落客点、暴晒、座椅和返程。</x:v>
      </x:c>
      <x:c r="L7" s="20" t="str">
        <x:v>两条轨迹、入口照片、落客点定位、步数与分钟</x:v>
      </x:c>
      <x:c r="M7" s="20" t="str">
        <x:v>江岸封闭、动线过长或无法提供低体力版本。</x:v>
      </x:c>
      <x:c r="N7" s="20" t="str">
        <x:v>与LFV001安排在同一次白天实走。</x:v>
      </x:c>
      <x:c r="O7" s="20" t="str">
        <x:v>https://www.cq.gov.cn/zwgk/zfxxgkml/zdlyxxgk/ggwh/ly/zxdt/202511/t20251107_15146900.html</x:v>
      </x:c>
      <x:c r="P7" s="20"/>
    </x:row>
    <x:row r="8" ht="78" customHeight="1">
      <x:c r="A8" s="20" t="str">
        <x:v>LFV003</x:v>
      </x:c>
      <x:c r="B8" s="20" t="str">
        <x:v>FV005|FV006</x:v>
      </x:c>
      <x:c r="C8" s="20" t="str">
        <x:v>EXP-CQ-001</x:v>
      </x:c>
      <x:c r="D8" s="20" t="str">
        <x:v>湖广会馆—东水门—白象街</x:v>
      </x:c>
      <x:c r="E8" s="20" t="str">
        <x:v>电话核验+完整实走</x:v>
      </x:c>
      <x:c r="F8" s="20" t="str">
        <x:v>这条线负责把立体奇观转成移民、城门和贸易解释。</x:v>
      </x:c>
      <x:c r="G8" s="20" t="str">
        <x:v>P0</x:v>
      </x:c>
      <x:c r="H8" s="20"/>
      <x:c r="I8" s="20"/>
      <x:c r="J8" s="20" t="str">
        <x:v>未开始</x:v>
      </x:c>
      <x:c r="K8" s="20" t="str">
        <x:v>确认护照票务、英文服务、拍摄与开放；形成连通地图和90/150分钟两版。</x:v>
      </x:c>
      <x:c r="L8" s="20" t="str">
        <x:v>电话记录、票务截图、入口照片、轨迹、讲解节点</x:v>
      </x:c>
      <x:c r="M8" s="20" t="str">
        <x:v>英语和开放状态不可确认，或转场必须穿越不稳定通道。</x:v>
      </x:c>
      <x:c r="N8" s="20" t="str">
        <x:v>先电话确认，再决定实走日期。</x:v>
      </x:c>
      <x:c r="O8" s="20" t="str">
        <x:v>https://whlyw.cq.gov.cn/hdjl_221/xzzq/202601/t20260115_15320860.html</x:v>
      </x:c>
      <x:c r="P8" s="20"/>
    </x:row>
    <x:row r="9" ht="78" customHeight="1">
      <x:c r="A9" s="20" t="str">
        <x:v>LFV004</x:v>
      </x:c>
      <x:c r="B9" s="20" t="str">
        <x:v>FV008</x:v>
      </x:c>
      <x:c r="C9" s="20" t="str">
        <x:v>EXP-CQ-001</x:v>
      </x:c>
      <x:c r="D9" s="20" t="str">
        <x:v>通远门—山城巷自上而下</x:v>
      </x:c>
      <x:c r="E9" s="20" t="str">
        <x:v>完整实走</x:v>
      </x:c>
      <x:c r="F9" s="20" t="str">
        <x:v>这是低成本解释山地道路与老城日常的核心步行段。</x:v>
      </x:c>
      <x:c r="G9" s="20" t="str">
        <x:v>P0</x:v>
      </x:c>
      <x:c r="H9" s="20"/>
      <x:c r="I9" s="20"/>
      <x:c r="J9" s="20" t="str">
        <x:v>未开始</x:v>
      </x:c>
      <x:c r="K9" s="20" t="str">
        <x:v>形成高体力与中体力版本，记录坡度、台阶、座椅、饮水、厕所和退出点。</x:v>
      </x:c>
      <x:c r="L9" s="20" t="str">
        <x:v>轨迹、海拔变化、台阶照片、每20分钟体感记录</x:v>
      </x:c>
      <x:c r="M9" s="20" t="str">
        <x:v>没有清晰退出点，或低体力客户无法安全替换。</x:v>
      </x:c>
      <x:c r="N9" s="20" t="str">
        <x:v>工作日上午测试，并补一次雨后路面观察。</x:v>
      </x:c>
      <x:c r="O9" s="20" t="str">
        <x:v>https://www.shplanning.com.cn/archive/download/id/487.html</x:v>
      </x:c>
      <x:c r="P9" s="20"/>
    </x:row>
    <x:row r="10" ht="78" customHeight="1">
      <x:c r="A10" s="20" t="str">
        <x:v>LFV005</x:v>
      </x:c>
      <x:c r="B10" s="20" t="str">
        <x:v>FV014|FV015</x:v>
      </x:c>
      <x:c r="C10" s="20" t="str">
        <x:v>EXP-CQ-001</x:v>
      </x:c>
      <x:c r="D10" s="20" t="str">
        <x:v>轨道2号线乘车—李子坝</x:v>
      </x:c>
      <x:c r="E10" s="20" t="str">
        <x:v>车内实测+施工动态复核</x:v>
      </x:c>
      <x:c r="F10" s="20" t="str">
        <x:v>产品要把穿楼照片升级为一段能解释重庆交通系统的体验。</x:v>
      </x:c>
      <x:c r="G10" s="20" t="str">
        <x:v>P0</x:v>
      </x:c>
      <x:c r="H10" s="20"/>
      <x:c r="I10" s="20"/>
      <x:c r="J10" s="20" t="str">
        <x:v>未开始</x:v>
      </x:c>
      <x:c r="K10" s="20" t="str">
        <x:v>确定方向、车厢、时段、观察点和施工期外部替代；不依赖观景台完成核心体验。</x:v>
      </x:c>
      <x:c r="L10" s="20" t="str">
        <x:v>车内观察脚本、车厢位置、时段视频、施工提示截图</x:v>
      </x:c>
      <x:c r="M10" s="20" t="str">
        <x:v>施工影响乘车核心体验，或现场无法安全组织停留。</x:v>
      </x:c>
      <x:c r="N10" s="20" t="str">
        <x:v>先完成一次非高峰往返，再测试周末人流。</x:v>
      </x:c>
      <x:c r="O10" s="20" t="str">
        <x:v>https://www.cq.gov.cn/ywdt/jrcq/202606/t20260613_15751500.html</x:v>
      </x:c>
      <x:c r="P10" s="20" t="str">
        <x:v>施工信息按月复核。</x:v>
      </x:c>
    </x:row>
    <x:row r="11" ht="78" customHeight="1">
      <x:c r="A11" s="20" t="str">
        <x:v>LFV006</x:v>
      </x:c>
      <x:c r="B11" s="20" t="str">
        <x:v>FV024</x:v>
      </x:c>
      <x:c r="C11" s="20" t="str">
        <x:v>EXP-CQ-002</x:v>
      </x:c>
      <x:c r="D11" s="20" t="str">
        <x:v>小面候选6家</x:v>
      </x:c>
      <x:c r="E11" s="20" t="str">
        <x:v>暗访点单+商户访谈</x:v>
      </x:c>
      <x:c r="F11" s="20" t="str">
        <x:v>小面是低门槛进入本地日常的第一餐，必须解决独立点单和辣度。</x:v>
      </x:c>
      <x:c r="G11" s="20" t="str">
        <x:v>P0</x:v>
      </x:c>
      <x:c r="H11" s="20"/>
      <x:c r="I11" s="20"/>
      <x:c r="J11" s="20" t="str">
        <x:v>未开始</x:v>
      </x:c>
      <x:c r="K11" s="20" t="str">
        <x:v>至少2家达到外籍独立点单、辣度解释、卫生、支付、座位和稳定营业要求。</x:v>
      </x:c>
      <x:c r="L11" s="20" t="str">
        <x:v>菜单、价格、点单话术、支付记录、座位与厕所照片</x:v>
      </x:c>
      <x:c r="M11" s="20" t="str">
        <x:v>没有两家可替换供应，或过敏和辣度无法说明。</x:v>
      </x:c>
      <x:c r="N11" s="20" t="str">
        <x:v>按解放碑/小什字住宿区先筛6家。</x:v>
      </x:c>
      <x:c r="O11" s="20" t="str">
        <x:v>https://whlyw.cq.gov.cn/zwgk_221/zfgkzcwj/qtwj/202607/t20260709_15810099.html</x:v>
      </x:c>
      <x:c r="P11" s="20" t="str">
        <x:v>餐厅名单不直接对外承诺，最终按住宿区匹配。</x:v>
      </x:c>
    </x:row>
    <x:row r="12" ht="78" customHeight="1">
      <x:c r="A12" s="20" t="str">
        <x:v>LFV007</x:v>
      </x:c>
      <x:c r="B12" s="20" t="str">
        <x:v>FV025</x:v>
      </x:c>
      <x:c r="C12" s="20" t="str">
        <x:v>EXP-CQ-002</x:v>
      </x:c>
      <x:c r="D12" s="20" t="str">
        <x:v>火锅候选3家+英文主持人</x:v>
      </x:c>
      <x:c r="E12" s="20" t="str">
        <x:v>试吃+访谈+模拟订单</x:v>
      </x:c>
      <x:c r="F12" s="20" t="str">
        <x:v>付费饮食体验的价值来自辣度、过敏、点菜和共享餐桌规则，而不是代订餐厅。</x:v>
      </x:c>
      <x:c r="G12" s="20" t="str">
        <x:v>P0</x:v>
      </x:c>
      <x:c r="H12" s="20"/>
      <x:c r="I12" s="20"/>
      <x:c r="J12" s="20" t="str">
        <x:v>未开始</x:v>
      </x:c>
      <x:c r="K12" s="20" t="str">
        <x:v>至少1家和1名主持人通过英语、过敏、素食、价格、拍摄、取消和安全七项核验。</x:v>
      </x:c>
      <x:c r="L12" s="20" t="str">
        <x:v>英文口试、菜单译文、合同/报价、取消规则、应急流程</x:v>
      </x:c>
      <x:c r="M12" s="20" t="str">
        <x:v>过敏责任不清、无稳定价格、无取消规则或不能提供非辣替代。</x:v>
      </x:c>
      <x:c r="N12" s="20" t="str">
        <x:v>先联系SUP-CQ-002，再独立核验3家餐厅。</x:v>
      </x:c>
      <x:c r="O12" s="20" t="str">
        <x:v>https://gowithguide.com/china/tour/chongqing-chongqing-bites-a-local-food-adventure-on-foot-23431</x:v>
      </x:c>
      <x:c r="P12" s="20" t="str">
        <x:v>公开平台资料仅用于候选，不视为合作或背书。</x:v>
      </x:c>
    </x:row>
    <x:row r="13" ht="78" customHeight="1">
      <x:c r="A13" s="20" t="str">
        <x:v>LFV008</x:v>
      </x:c>
      <x:c r="B13" s="20" t="str">
        <x:v>FV021|FV022</x:v>
      </x:c>
      <x:c r="C13" s="20" t="str">
        <x:v>EXP-CQ-003</x:v>
      </x:c>
      <x:c r="D13" s="20" t="str">
        <x:v>交通茶馆—黄桷坪/川美周边</x:v>
      </x:c>
      <x:c r="E13" s="20" t="str">
        <x:v>店方访谈+陪同实走</x:v>
      </x:c>
      <x:c r="F13" s="20" t="str">
        <x:v>真实生活体验必须建立在许可、边界和解释之上，避免闯入式摄影。</x:v>
      </x:c>
      <x:c r="G13" s="20" t="str">
        <x:v>P0</x:v>
      </x:c>
      <x:c r="H13" s="20"/>
      <x:c r="I13" s="20"/>
      <x:c r="J13" s="20" t="str">
        <x:v>未开始</x:v>
      </x:c>
      <x:c r="K13" s="20" t="str">
        <x:v>确认团队人数、英语主持、价格、拍摄边界、社区隐私、取消和雨天方案。</x:v>
      </x:c>
      <x:c r="L13" s="20" t="str">
        <x:v>店方同意记录、拍摄规则、路线轨迹、厕所与返程点</x:v>
      </x:c>
      <x:c r="M13" s="20" t="str">
        <x:v>无法取得明确拍摄边界，或把常客和居民当作表演对象。</x:v>
      </x:c>
      <x:c r="N13" s="20" t="str">
        <x:v>联系SUP-CQ-003并同时直接询问场地方。</x:v>
      </x:c>
      <x:c r="O13" s="20" t="str">
        <x:v>https://whlyw.cq.gov.cn/zwxx_221/ztzl/wlcy/zxcq/202412/P020241209602406961699.pdf</x:v>
      </x:c>
      <x:c r="P13" s="20"/>
    </x:row>
    <x:row r="14" ht="78" customHeight="1">
      <x:c r="A14" s="20" t="str">
        <x:v>LFV009</x:v>
      </x:c>
      <x:c r="B14" s="20" t="str">
        <x:v>FV027</x:v>
      </x:c>
      <x:c r="C14" s="20" t="str">
        <x:v>EXP-CQ-001|EXP-CQ-002|EXP-CQ-003</x:v>
      </x:c>
      <x:c r="D14" s="20" t="str">
        <x:v>Google/高德/百度坐标与入口卡</x:v>
      </x:c>
      <x:c r="E14" s="20" t="str">
        <x:v>逐点双语测试</x:v>
      </x:c>
      <x:c r="F14" s="20" t="str">
        <x:v>外国游客真正使用的是英文名、坐标、入口照片和下车点，而不是中文地址列表。</x:v>
      </x:c>
      <x:c r="G14" s="20" t="str">
        <x:v>P0</x:v>
      </x:c>
      <x:c r="H14" s="20"/>
      <x:c r="I14" s="20"/>
      <x:c r="J14" s="20" t="str">
        <x:v>未开始</x:v>
      </x:c>
      <x:c r="K14" s="20" t="str">
        <x:v>所有首发节点都有中英文名、坐标、入口照片、正确出口和高差提醒。</x:v>
      </x:c>
      <x:c r="L14" s="20" t="str">
        <x:v>三平台截图、坐标表、入口卡、模拟导航录像</x:v>
      </x:c>
      <x:c r="M14" s="20" t="str">
        <x:v>任一核心节点无法靠英文路书独立到达。</x:v>
      </x:c>
      <x:c r="N14" s="20" t="str">
        <x:v>随每次实走同步完成，不单独补录。</x:v>
      </x:c>
      <x:c r="O14" s="20" t="str">
        <x:v>https://www.reddit.com/r/travelchina/comments/1t4cdvm/help_planning_chongqing/</x:v>
      </x:c>
      <x:c r="P14" s="20"/>
    </x:row>
    <x:row r="15" ht="78" customHeight="1">
      <x:c r="A15" s="21" t="str">
        <x:v>LFV010</x:v>
      </x:c>
      <x:c r="B15" s="21" t="str">
        <x:v>FV030</x:v>
      </x:c>
      <x:c r="C15" s="21" t="str">
        <x:v>EXP-CQ-001|EXP-CQ-002|EXP-CQ-003</x:v>
      </x:c>
      <x:c r="D15" s="21" t="str">
        <x:v>外国游客小样可用性测试</x:v>
      </x:c>
      <x:c r="E15" s="21" t="str">
        <x:v>3—5人陪同/远程任务测试</x:v>
      </x:c>
      <x:c r="F15" s="21" t="str">
        <x:v>只有真实外国游客能暴露英文、地图、节奏、支付和文化解释中的隐藏问题。</x:v>
      </x:c>
      <x:c r="G15" s="21" t="str">
        <x:v>P0</x:v>
      </x:c>
      <x:c r="H15" s="21"/>
      <x:c r="I15" s="21"/>
      <x:c r="J15" s="21" t="str">
        <x:v>未开始</x:v>
      </x:c>
      <x:c r="K15" s="21" t="str">
        <x:v>至少3人完成核心任务；记录迷路、理解、疲劳、支付、记忆与愿付价格。</x:v>
      </x:c>
      <x:c r="L15" s="21" t="str">
        <x:v>观察记录、访谈、NPS、问题清单、修订前后版本</x:v>
      </x:c>
      <x:c r="M15" s="21" t="str">
        <x:v>核心任务完成率低于80%，或出现未被预警的安全/支付问题。</x:v>
      </x:c>
      <x:c r="N15" s="21" t="str">
        <x:v>先做1名陪同测试，修订后再做2—4名独立测试。</x:v>
      </x:c>
      <x:c r="O15" s="21" t="str">
        <x:v>https://www.reddit.com/r/travelchina/comments/1v4olqp/thoughts_on_my_chongqing_itinerary/</x:v>
      </x:c>
      <x:c r="P15" s="21" t="str">
        <x:v>不得只找熟悉中国的外籍长期居民。</x:v>
      </x:c>
    </x:row>
  </x:sheetData>
  <x:mergeCells>
    <x:mergeCell ref="A1:P1"/>
    <x:mergeCell ref="A2:P2"/>
  </x:mergeCells>
  <x:conditionalFormatting sqref="J6:J15">
    <x:cfRule type="containsText" dxfId="2" priority="1" operator="containsText" text="通过"/>
    <x:cfRule type="containsText" dxfId="3" priority="2" operator="containsText" text="不通过"/>
    <x:cfRule type="containsText" dxfId="4" priority="3" operator="containsText" text="进行中"/>
  </x:conditionalFormatting>
  <x:dataValidations count="1">
    <x:dataValidation type="list" sqref="J6:J15">
      <x:formula1>"未开始,进行中,通过,不通过,待复核"</x:formula1>
    </x:dataValidation>
  </x:dataValidations>
  <x:pageMargins left="0.7" right="0.7" top="0.75" bottom="0.75" header="0.3" footer="0.3"/>
  <x:tableParts count="1">
    <x:tablePart xmlns:r="http://schemas.openxmlformats.org/officeDocument/2006/relationships" r:id="R59ac69e9cd78479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34" hidden="0" customWidth="1"/>
    <x:col min="4" max="4" width="47" hidden="0" customWidth="1"/>
    <x:col min="5" max="5" width="34" hidden="0" customWidth="1"/>
    <x:col min="6" max="6" width="36" hidden="0" customWidth="1"/>
    <x:col min="7" max="7" width="13" hidden="0" customWidth="1"/>
    <x:col min="8" max="8" width="14" hidden="0" customWidth="1"/>
    <x:col min="9" max="9" width="42" hidden="0" customWidth="1"/>
    <x:col min="10" max="10" width="29" hidden="0" customWidth="1"/>
    <x:col min="11" max="11" width="42" hidden="0" customWidth="1"/>
    <x:col min="12" max="12" width="35" hidden="0" customWidth="1"/>
    <x:col min="13" max="13" width="43" hidden="0" customWidth="1"/>
    <x:col min="14" max="14" width="42" hidden="0" customWidth="1"/>
    <x:col min="15" max="15" width="14" hidden="0" customWidth="1"/>
    <x:col min="16" max="16" width="16" hidden="0" customWidth="1"/>
    <x:col min="17" max="17" width="39" hidden="0" customWidth="1"/>
    <x:col min="18" max="18" width="40" hidden="0" customWidth="1"/>
  </x:cols>
  <x:sheetData>
    <x:row r="1" ht="32" customHeight="1">
      <x:c r="A1" s="3" t="str">
        <x:v>体验产品｜先验证三个可以被记住的产品</x:v>
      </x:c>
      <x:c r="B1" s="3"/>
      <x:c r="C1" s="3"/>
      <x:c r="D1" s="3"/>
      <x:c r="E1" s="3"/>
      <x:c r="F1" s="3"/>
      <x:c r="G1" s="3"/>
      <x:c r="H1" s="3"/>
      <x:c r="I1" s="3"/>
      <x:c r="J1" s="3"/>
      <x:c r="K1" s="3"/>
      <x:c r="L1" s="3"/>
      <x:c r="M1" s="3"/>
      <x:c r="N1" s="3"/>
      <x:c r="O1" s="3"/>
      <x:c r="P1" s="3"/>
      <x:c r="Q1" s="3"/>
      <x:c r="R1" s="3"/>
    </x:row>
    <x:row r="2" ht="30" customHeight="1">
      <x:c r="A2" s="7" t="str">
        <x:v>价格是首轮测试价，不是供应商承诺。销售状态由首发核验和供应商七项准入门槛自动控制；未达到“可销售”只能作为研究候选。</x:v>
      </x:c>
      <x:c r="B2" s="7"/>
      <x:c r="C2" s="7"/>
      <x:c r="D2" s="7"/>
      <x:c r="E2" s="7"/>
      <x:c r="F2" s="7"/>
      <x:c r="G2" s="7"/>
      <x:c r="H2" s="7"/>
      <x:c r="I2" s="7"/>
      <x:c r="J2" s="7"/>
      <x:c r="K2" s="7"/>
      <x:c r="L2" s="7"/>
      <x:c r="M2" s="7"/>
      <x:c r="N2" s="7"/>
      <x:c r="O2" s="7"/>
      <x:c r="P2" s="7"/>
      <x:c r="Q2" s="7"/>
      <x:c r="R2" s="7"/>
    </x:row>
    <x:row r="5" ht="34" customHeight="1">
      <x:c r="A5" s="11" t="str">
        <x:v>产品ID</x:v>
      </x:c>
      <x:c r="B5" s="11" t="str">
        <x:v>英文产品名</x:v>
      </x:c>
      <x:c r="C5" s="11" t="str">
        <x:v>中文产品名</x:v>
      </x:c>
      <x:c r="D5" s="11" t="str">
        <x:v>核心承诺</x:v>
      </x:c>
      <x:c r="E5" s="11" t="str">
        <x:v>适合客群</x:v>
      </x:c>
      <x:c r="F5" s="11" t="str">
        <x:v>不适合客群</x:v>
      </x:c>
      <x:c r="G5" s="11" t="str">
        <x:v>建议时长</x:v>
      </x:c>
      <x:c r="H5" s="11" t="str">
        <x:v>建议人数</x:v>
      </x:c>
      <x:c r="I5" s="11" t="str">
        <x:v>公开市场参照价</x:v>
      </x:c>
      <x:c r="J5" s="11" t="str">
        <x:v>首轮测试价</x:v>
      </x:c>
      <x:c r="K5" s="11" t="str">
        <x:v>包含</x:v>
      </x:c>
      <x:c r="L5" s="11" t="str">
        <x:v>不包含</x:v>
      </x:c>
      <x:c r="M5" s="11" t="str">
        <x:v>体力/安全提示</x:v>
      </x:c>
      <x:c r="N5" s="11" t="str">
        <x:v>雨天方案</x:v>
      </x:c>
      <x:c r="O5" s="11" t="str">
        <x:v>销售状态</x:v>
      </x:c>
      <x:c r="P5" s="11" t="str">
        <x:v>候选供应商</x:v>
      </x:c>
      <x:c r="Q5" s="11" t="str">
        <x:v>前置核验</x:v>
      </x:c>
      <x:c r="R5" s="11" t="str">
        <x:v>来源URL</x:v>
      </x:c>
    </x:row>
    <x:row r="6" ht="96" customHeight="1">
      <x:c r="A6" s="19" t="str">
        <x:v>EXP-CQ-001</x:v>
      </x:c>
      <x:c r="B6" s="19" t="str">
        <x:v>How Chongqing Works</x:v>
      </x:c>
      <x:c r="C6" s="19" t="str">
        <x:v>重庆为什么这样生长：立体城市解读步行</x:v>
      </x:c>
      <x:c r="D6" s="19" t="str">
        <x:v>游客不是收集机位，而是在四小时内理解多重地面、山脊、江岸和轨道如何共同塑造重庆。</x:v>
      </x:c>
      <x:c r="E6" s="19" t="str">
        <x:v>首次来访、城市/建筑兴趣、摄影、产品和科技从业者</x:v>
      </x:c>
      <x:c r="F6" s="19" t="str">
        <x:v>连续步行困难、严重恐高、只想快速打卡</x:v>
      </x:c>
      <x:c r="G6" s="19" t="str">
        <x:v>4小时</x:v>
      </x:c>
      <x:c r="H6" s="19" t="str">
        <x:v>1—4人</x:v>
      </x:c>
      <x:c r="I6" s="19" t="str">
        <x:v>公开同类半日产品约¥350—700/人或US$150/组，具体以页面和日期为准。</x:v>
      </x:c>
      <x:c r="J6" s="19" t="str">
        <x:v>¥899/组（1—3人）；第4人+¥150</x:v>
      </x:c>
      <x:c r="K6" s="19" t="str">
        <x:v>英文主持、个性化路线、导航入口卡、一份雨天替代</x:v>
      </x:c>
      <x:c r="L6" s="19" t="str">
        <x:v>门票、餐饮、交通、商业拍摄许可</x:v>
      </x:c>
      <x:c r="M6" s="19" t="str">
        <x:v>台阶和高差明显；预订前必须确认连续步行能力和恐高。</x:v>
      </x:c>
      <x:c r="N6" s="19" t="str">
        <x:v>缩短户外江岸段，增加轨道乘车、会馆或有顶空间；暴雨时允许改期。</x:v>
      </x:c>
      <x:c r="O6" s="19" t="str">
        <x:f>IF(AND(COUNTIF('首发核验'!$C$6:$C$15,"*"&amp;A6&amp;"*")&gt;0,COUNTIFS('首发核验'!$C$6:$C$15,"*"&amp;A6&amp;"*",'首发核验'!$J$6:$J$15,"&lt;&gt;通过")=0,'供应商档案'!$Q$6="可签约"),"可销售","仅候选")</x:f>
        <x:v>仅候选</x:v>
      </x:c>
      <x:c r="P6" s="19" t="str">
        <x:v>SUP-CQ-001</x:v>
      </x:c>
      <x:c r="Q6" s="19" t="str">
        <x:v>LFV001|LFV002|LFV003|LFV004|LFV005|LFV009|LFV010</x:v>
      </x:c>
      <x:c r="R6" s="19" t="str">
        <x:v>https://www.yedutrip.com/yedushop/p/chongqing-walking-tour</x:v>
      </x:c>
    </x:row>
    <x:row r="7" ht="96" customHeight="1">
      <x:c r="A7" s="20" t="str">
        <x:v>EXP-CQ-002</x:v>
      </x:c>
      <x:c r="B7" s="20" t="str">
        <x:v>Chongqing Eats: Noodles, Snacks &amp; Hotpot Rules</x:v>
      </x:c>
      <x:c r="C7" s="20" t="str">
        <x:v>重庆怎么吃：小面、街巷小吃与火锅规则</x:v>
      </x:c>
      <x:c r="D7" s="20" t="str">
        <x:v>让外国游客能说清辣度、过敏和忌口，完成一次有解释、可参与、不过度冒险的重庆餐桌体验。</x:v>
      </x:c>
      <x:c r="E7" s="20" t="str">
        <x:v>美食兴趣、首次来华、社交型游客、小团体</x:v>
      </x:c>
      <x:c r="F7" s="20" t="str">
        <x:v>严重食物过敏且无法确认交叉污染、不能接受共享餐桌</x:v>
      </x:c>
      <x:c r="G7" s="20" t="str">
        <x:v>3小时</x:v>
      </x:c>
      <x:c r="H7" s="20" t="str">
        <x:v>1—6人</x:v>
      </x:c>
      <x:c r="I7" s="20" t="str">
        <x:v>公开同类3小时产品约US$125/组，页面显示包含小吃、饮料和一顿正餐。</x:v>
      </x:c>
      <x:c r="J7" s="20" t="str">
        <x:v>¥899/组（1—4人）+超出套餐消费实报</x:v>
      </x:c>
      <x:c r="K7" s="20" t="str">
        <x:v>英文主持、3类小吃或早餐样本、火锅/川菜点单解释、过敏与辣度卡</x:v>
      </x:c>
      <x:c r="L7" s="20" t="str">
        <x:v>酒水、额外菜品、酒店接送、医疗费用</x:v>
      </x:c>
      <x:c r="M7" s="20" t="str">
        <x:v>预订前强制询问过敏、忌口、孕期和辣度；餐饮场所存在交叉污染风险。</x:v>
      </x:c>
      <x:c r="N7" s="20" t="str">
        <x:v>以室内餐饮为主；暴雨只调整集合点和步行段。</x:v>
      </x:c>
      <x:c r="O7" s="20" t="str">
        <x:f>IF(AND(COUNTIF('首发核验'!$C$6:$C$15,"*"&amp;A7&amp;"*")&gt;0,COUNTIFS('首发核验'!$C$6:$C$15,"*"&amp;A7&amp;"*",'首发核验'!$J$6:$J$15,"&lt;&gt;通过")=0,'供应商档案'!$Q$7="可签约"),"可销售","仅候选")</x:f>
        <x:v>仅候选</x:v>
      </x:c>
      <x:c r="P7" s="20" t="str">
        <x:v>SUP-CQ-002</x:v>
      </x:c>
      <x:c r="Q7" s="20" t="str">
        <x:v>LFV006|LFV007|LFV009|LFV010</x:v>
      </x:c>
      <x:c r="R7" s="20" t="str">
        <x:v>https://gowithguide.com/china/tour/chongqing-chongqing-bites-a-local-food-adventure-on-foot-23431</x:v>
      </x:c>
    </x:row>
    <x:row r="8" ht="96" customHeight="1">
      <x:c r="A8" s="21" t="str">
        <x:v>EXP-CQ-003</x:v>
      </x:c>
      <x:c r="B8" s="21" t="str">
        <x:v>Tea House, Art District &amp; Everyday Chongqing</x:v>
      </x:c>
      <x:c r="C8" s="21" t="str">
        <x:v>茶馆、艺术街区与重庆日常</x:v>
      </x:c>
      <x:c r="D8" s="21" t="str">
        <x:v>在得到场地方许可的前提下，学习如何观察茶馆规则、社区节奏和黄桷坪的艺术生活。</x:v>
      </x:c>
      <x:c r="E8" s="21" t="str">
        <x:v>复游客、摄影、在地生活、艺术和社会观察兴趣</x:v>
      </x:c>
      <x:c r="F8" s="21" t="str">
        <x:v>需要无障碍路线、不能接受烟味或希望把居民当拍摄对象</x:v>
      </x:c>
      <x:c r="G8" s="21" t="str">
        <x:v>3.5小时</x:v>
      </x:c>
      <x:c r="H8" s="21" t="str">
        <x:v>1—5人</x:v>
      </x:c>
      <x:c r="I8" s="21" t="str">
        <x:v>公开同类茶馆与小吃产品页面显示约US$75/人，价格需按日期复核。</x:v>
      </x:c>
      <x:c r="J8" s="21" t="str">
        <x:v>¥799/组（1—3人）+现场消费实报</x:v>
      </x:c>
      <x:c r="K8" s="21" t="str">
        <x:v>英文主持、茶馆礼仪说明、1杯茶、公共空间摄影边界卡</x:v>
      </x:c>
      <x:c r="L8" s="21" t="str">
        <x:v>额外餐饮、商业拍摄许可、私人空间进入、交通</x:v>
      </x:c>
      <x:c r="M8" s="21" t="str">
        <x:v>可能存在烟味、台阶和拥挤；不得承诺拍摄常客或居民。</x:v>
      </x:c>
      <x:c r="N8" s="21" t="str">
        <x:v>以茶馆和室内艺术空间为主；场地方不可用时改为山城巷社区观察。</x:v>
      </x:c>
      <x:c r="O8" s="21" t="str">
        <x:f>IF(AND(COUNTIF('首发核验'!$C$6:$C$15,"*"&amp;A8&amp;"*")&gt;0,COUNTIFS('首发核验'!$C$6:$C$15,"*"&amp;A8&amp;"*",'首发核验'!$J$6:$J$15,"&lt;&gt;通过")=0,'供应商档案'!$Q$8="可签约"),"可销售","仅候选")</x:f>
        <x:v>仅候选</x:v>
      </x:c>
      <x:c r="P8" s="21" t="str">
        <x:v>SUP-CQ-003</x:v>
      </x:c>
      <x:c r="Q8" s="21" t="str">
        <x:v>LFV008|LFV009|LFV010</x:v>
      </x:c>
      <x:c r="R8" s="21" t="str">
        <x:v>https://gowithguide.com/china/tour/chongqing-beyond-tourist-chongqing-teahouse-local-snacks-included-23763</x:v>
      </x:c>
    </x:row>
  </x:sheetData>
  <x:mergeCells>
    <x:mergeCell ref="A1:R1"/>
    <x:mergeCell ref="A2:R2"/>
  </x:mergeCells>
  <x:conditionalFormatting sqref="O6:O8">
    <x:cfRule type="containsText" dxfId="5" priority="1" operator="containsText" text="可销售"/>
    <x:cfRule type="containsText" dxfId="6" priority="2" operator="containsText" text="仅候选"/>
  </x:conditionalFormatting>
  <x:pageMargins left="0.7" right="0.7" top="0.75" bottom="0.75" header="0.3" footer="0.3"/>
  <x:tableParts count="1">
    <x:tablePart xmlns:r="http://schemas.openxmlformats.org/officeDocument/2006/relationships" r:id="Rbe6016642cf24b8b"/>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6" hidden="0" customWidth="1"/>
    <x:col min="11" max="11" width="16" hidden="0" customWidth="1"/>
    <x:col min="12" max="12" width="44" hidden="0" customWidth="1"/>
    <x:col min="13" max="13" width="40" hidden="0" customWidth="1"/>
    <x:col min="14" max="14" width="46" hidden="0" customWidth="1"/>
    <x:col min="15" max="15" width="40" hidden="0" customWidth="1"/>
    <x:col min="16" max="16" width="14" hidden="0" customWidth="1"/>
    <x:col min="17" max="17" width="14" hidden="0" customWidth="1"/>
    <x:col min="18" max="18" width="48" hidden="0" customWidth="1"/>
    <x:col min="19" max="19" width="42" hidden="0" customWidth="1"/>
  </x:cols>
  <x:sheetData>
    <x:row r="1" ht="32" customHeight="1">
      <x:c r="A1" s="3" t="str">
        <x:v>供应商档案｜公开信息不等于合作关系</x:v>
      </x:c>
      <x:c r="B1" s="3"/>
      <x:c r="C1" s="3"/>
      <x:c r="D1" s="3"/>
      <x:c r="E1" s="3"/>
      <x:c r="F1" s="3"/>
      <x:c r="G1" s="3"/>
      <x:c r="H1" s="3"/>
      <x:c r="I1" s="3"/>
      <x:c r="J1" s="3"/>
      <x:c r="K1" s="3"/>
      <x:c r="L1" s="3"/>
      <x:c r="M1" s="3"/>
      <x:c r="N1" s="3"/>
      <x:c r="O1" s="3"/>
      <x:c r="P1" s="3"/>
      <x:c r="Q1" s="3"/>
      <x:c r="R1" s="3"/>
      <x:c r="S1" s="3"/>
    </x:row>
    <x:row r="2" ht="30" customHeight="1">
      <x:c r="A2" s="7" t="str">
        <x:v>以下三位/机构只是公开候选，尚未联系或签约。身份、英语、人数价格、取消、拍摄、保险安全、付款结算七项全部通过，才允许进入产品销售。</x:v>
      </x:c>
      <x:c r="B2" s="7"/>
      <x:c r="C2" s="7"/>
      <x:c r="D2" s="7"/>
      <x:c r="E2" s="7"/>
      <x:c r="F2" s="7"/>
      <x:c r="G2" s="7"/>
      <x:c r="H2" s="7"/>
      <x:c r="I2" s="7"/>
      <x:c r="J2" s="7"/>
      <x:c r="K2" s="7"/>
      <x:c r="L2" s="7"/>
      <x:c r="M2" s="7"/>
      <x:c r="N2" s="7"/>
      <x:c r="O2" s="7"/>
      <x:c r="P2" s="7"/>
      <x:c r="Q2" s="7"/>
      <x:c r="R2" s="7"/>
      <x:c r="S2" s="7"/>
    </x:row>
    <x:row r="5" ht="34" customHeight="1">
      <x:c r="A5" s="11" t="str">
        <x:v>供应商ID</x:v>
      </x:c>
      <x:c r="B5" s="11" t="str">
        <x:v>候选名称</x:v>
      </x:c>
      <x:c r="C5" s="11" t="str">
        <x:v>来源渠道</x:v>
      </x:c>
      <x:c r="D5" s="11" t="str">
        <x:v>联系状态</x:v>
      </x:c>
      <x:c r="E5" s="11" t="str">
        <x:v>身份/资质</x:v>
      </x:c>
      <x:c r="F5" s="11" t="str">
        <x:v>英语实测</x:v>
      </x:c>
      <x:c r="G5" s="11" t="str">
        <x:v>人数与价格</x:v>
      </x:c>
      <x:c r="H5" s="11" t="str">
        <x:v>取消规则</x:v>
      </x:c>
      <x:c r="I5" s="11" t="str">
        <x:v>拍摄许可</x:v>
      </x:c>
      <x:c r="J5" s="11" t="str">
        <x:v>保险与安全</x:v>
      </x:c>
      <x:c r="K5" s="11" t="str">
        <x:v>付款与结算</x:v>
      </x:c>
      <x:c r="L5" s="11" t="str">
        <x:v>公开产品能力</x:v>
      </x:c>
      <x:c r="M5" s="11" t="str">
        <x:v>公开价格</x:v>
      </x:c>
      <x:c r="N5" s="11" t="str">
        <x:v>公开付款/取消信息</x:v>
      </x:c>
      <x:c r="O5" s="11" t="str">
        <x:v>资料与影像授权</x:v>
      </x:c>
      <x:c r="P5" s="11" t="str">
        <x:v>门槛通过数</x:v>
      </x:c>
      <x:c r="Q5" s="11" t="str">
        <x:v>准入状态</x:v>
      </x:c>
      <x:c r="R5" s="11" t="str">
        <x:v>必须补证</x:v>
      </x:c>
      <x:c r="S5" s="11" t="str">
        <x:v>来源URL</x:v>
      </x:c>
    </x:row>
    <x:row r="6" ht="104" customHeight="1">
      <x:c r="A6" s="19" t="str">
        <x:v>SUP-CQ-001</x:v>
      </x:c>
      <x:c r="B6" s="19" t="str">
        <x:v>Yedu / Shiqi Wang</x:v>
      </x:c>
      <x:c r="C6" s="19" t="str">
        <x:v>独立站公开候选</x:v>
      </x:c>
      <x:c r="D6" s="19" t="str">
        <x:f>IF('联系工作台'!$O$6="已签约","签约",IF('联系工作台'!$O$6="淘汰","淘汰",IF('联系工作台'!$F$6="未发送","未联系",IF('联系工作台'!$F$6="已发送","已联系","洽谈中"))))</x:f>
        <x:v>未联系</x:v>
      </x:c>
      <x:c r="E6" s="19" t="str">
        <x:v>待核验</x:v>
      </x:c>
      <x:c r="F6" s="19" t="str">
        <x:f>IF('英语口试'!$E$19="通过","通过",IF('英语口试'!$E$19="不通过","不通过","待核验"))</x:f>
        <x:v>待核验</x:v>
      </x:c>
      <x:c r="G6" s="19" t="str">
        <x:v>待核验</x:v>
      </x:c>
      <x:c r="H6" s="19" t="str">
        <x:v>待核验</x:v>
      </x:c>
      <x:c r="I6" s="19" t="str">
        <x:v>待核验</x:v>
      </x:c>
      <x:c r="J6" s="19" t="str">
        <x:v>待核验</x:v>
      </x:c>
      <x:c r="K6" s="19" t="str">
        <x:v>待核验</x:v>
      </x:c>
      <x:c r="L6" s="19" t="str">
        <x:v>公开页称可用英语、法语、粤语和普通话提供重庆全日/半日步行，并可按兴趣设计路线。</x:v>
      </x:c>
      <x:c r="M6" s="19" t="str">
        <x:v>公开页显示：全日1人¥1300；2人¥800/人；3人¥650/人；半日1人¥700，均需按日期复核。</x:v>
      </x:c>
      <x:c r="N6" s="19" t="str">
        <x:v>公开页称先确认日期、支付订金，余款可用微信/支付宝/Stripe/现金；订金原则上不退，满足条件可改期一次。</x:v>
      </x:c>
      <x:c r="O6" s="19" t="str">
        <x:v>未说明，必须取得书面授权后才能使用姓名、照片、路线和评价。</x:v>
      </x:c>
      <x:c r="P6" s="19" t="n">
        <x:f>COUNTIF(E6:K6,"通过")</x:f>
        <x:v>0</x:v>
      </x:c>
      <x:c r="Q6" s="19" t="str">
        <x:f>IF(P6=7,"可签约",IF(P6&gt;=4,"补证中","待尽调"))</x:f>
        <x:v>待尽调</x:v>
      </x:c>
      <x:c r="R6" s="19" t="str">
        <x:v>导游/经营资质、责任主体、公共责任险、英语口试、路线版权、商业合作价、结算、紧急预案。</x:v>
      </x:c>
      <x:c r="S6" s="19" t="str">
        <x:v>https://www.yedutrip.com/yedushop/p/chongqing-walking-tour</x:v>
      </x:c>
    </x:row>
    <x:row r="7" ht="104" customHeight="1">
      <x:c r="A7" s="20" t="str">
        <x:v>SUP-CQ-002</x:v>
      </x:c>
      <x:c r="B7" s="20" t="str">
        <x:v>Isa Z. / GoWithGuide</x:v>
      </x:c>
      <x:c r="C7" s="20" t="str">
        <x:v>平台公开候选</x:v>
      </x:c>
      <x:c r="D7" s="20" t="str">
        <x:f>IF('联系工作台'!$O$7="已签约","签约",IF('联系工作台'!$O$7="淘汰","淘汰",IF('联系工作台'!$F$7="未发送","未联系",IF('联系工作台'!$F$7="已发送","已联系","洽谈中"))))</x:f>
        <x:v>未联系</x:v>
      </x:c>
      <x:c r="E7" s="20" t="str">
        <x:v>待核验</x:v>
      </x:c>
      <x:c r="F7" s="20" t="str">
        <x:f>IF('英语口试'!$G$19="通过","通过",IF('英语口试'!$G$19="不通过","不通过","待核验"))</x:f>
        <x:v>待核验</x:v>
      </x:c>
      <x:c r="G7" s="20" t="str">
        <x:v>待核验</x:v>
      </x:c>
      <x:c r="H7" s="20" t="str">
        <x:v>待核验</x:v>
      </x:c>
      <x:c r="I7" s="20" t="str">
        <x:v>待核验</x:v>
      </x:c>
      <x:c r="J7" s="20" t="str">
        <x:v>待核验</x:v>
      </x:c>
      <x:c r="K7" s="20" t="str">
        <x:v>待核验</x:v>
      </x:c>
      <x:c r="L7" s="20" t="str">
        <x:v>平台页标记其为重庆本地英语/中文持证导游；公开3小时美食步行，最多6人，含小吃、饮料和火锅或川菜。</x:v>
      </x:c>
      <x:c r="M7" s="20" t="str">
        <x:v>公开页显示US$125/组；价格、平台费用和线下合作价均需重新确认。</x:v>
      </x:c>
      <x:c r="N7" s="20" t="str">
        <x:v>平台公开取消：8天前免费；3—7天退50%；2天内不退。付款与结算主体需向平台及本人确认。</x:v>
      </x:c>
      <x:c r="O7" s="20" t="str">
        <x:v>平台照片和评价不得直接用于本站，需另行取得本人及平台授权。</x:v>
      </x:c>
      <x:c r="P7" s="20" t="n">
        <x:f>COUNTIF(E7:K7,"通过")</x:f>
        <x:v>0</x:v>
      </x:c>
      <x:c r="Q7" s="20" t="str">
        <x:f>IF(P7=7,"可签约",IF(P7&gt;=4,"补证中","待尽调"))</x:f>
        <x:v>待尽调</x:v>
      </x:c>
      <x:c r="R7" s="20" t="str">
        <x:v>导游证原件、合作主体、食品过敏SOP、餐厅备选、英语口试、保险、拍摄、结算和数据授权。</x:v>
      </x:c>
      <x:c r="S7" s="20" t="str">
        <x:v>https://gowithguide.com/china/tour/chongqing-chongqing-bites-a-local-food-adventure-on-foot-23431</x:v>
      </x:c>
    </x:row>
    <x:row r="8" ht="104" customHeight="1">
      <x:c r="A8" s="21" t="str">
        <x:v>SUP-CQ-003</x:v>
      </x:c>
      <x:c r="B8" s="21" t="str">
        <x:v>Lisa F. / GoWithGuide</x:v>
      </x:c>
      <x:c r="C8" s="21" t="str">
        <x:v>平台公开候选</x:v>
      </x:c>
      <x:c r="D8" s="21" t="str">
        <x:f>IF('联系工作台'!$O$8="已签约","签约",IF('联系工作台'!$O$8="淘汰","淘汰",IF('联系工作台'!$F$8="未发送","未联系",IF('联系工作台'!$F$8="已发送","已联系","洽谈中"))))</x:f>
        <x:v>未联系</x:v>
      </x:c>
      <x:c r="E8" s="21" t="str">
        <x:v>待核验</x:v>
      </x:c>
      <x:c r="F8" s="21" t="str">
        <x:f>IF('英语口试'!$I$19="通过","通过",IF('英语口试'!$I$19="不通过","不通过","待核验"))</x:f>
        <x:v>待核验</x:v>
      </x:c>
      <x:c r="G8" s="21" t="str">
        <x:v>待核验</x:v>
      </x:c>
      <x:c r="H8" s="21" t="str">
        <x:v>待核验</x:v>
      </x:c>
      <x:c r="I8" s="21" t="str">
        <x:v>待核验</x:v>
      </x:c>
      <x:c r="J8" s="21" t="str">
        <x:v>待核验</x:v>
      </x:c>
      <x:c r="K8" s="21" t="str">
        <x:v>待核验</x:v>
      </x:c>
      <x:c r="L8" s="21" t="str">
        <x:v>平台页标记身份已验证、通过访谈质量检查，可用英语；公开茶馆、社区、小吃与历史街区3.5小时产品，最多5人。</x:v>
      </x:c>
      <x:c r="M8" s="21" t="str">
        <x:v>公开页显示约US$75/人；不同日期和人数可能变化，需重新确认。</x:v>
      </x:c>
      <x:c r="N8" s="21" t="str">
        <x:v>平台公开取消：8天前免费；3—7天退50%；2天内不退。付款和供应关系需进一步确认。</x:v>
      </x:c>
      <x:c r="O8" s="21" t="str">
        <x:v>平台照片和评价不得直接用于本站，需另行取得本人、场地方及平台授权。</x:v>
      </x:c>
      <x:c r="P8" s="21" t="n">
        <x:f>COUNTIF(E8:K8,"通过")</x:f>
        <x:v>0</x:v>
      </x:c>
      <x:c r="Q8" s="21" t="str">
        <x:f>IF(P8=7,"可签约",IF(P8&gt;=4,"补证中","待尽调"))</x:f>
        <x:v>待尽调</x:v>
      </x:c>
      <x:c r="R8" s="21" t="str">
        <x:v>导游/经营资质、茶馆书面许可、常客隐私、英语口试、保险、商业拍摄边界、合作价和结算。</x:v>
      </x:c>
      <x:c r="S8" s="21" t="str">
        <x:v>https://gowithguide.com/china/tour/chongqing-beyond-tourist-chongqing-teahouse-local-snacks-included-23763</x:v>
      </x:c>
    </x:row>
  </x:sheetData>
  <x:mergeCells>
    <x:mergeCell ref="A1:S1"/>
    <x:mergeCell ref="A2:S2"/>
  </x:mergeCells>
  <x:conditionalFormatting sqref="E6:K8">
    <x:cfRule type="containsText" dxfId="7" priority="1" operator="containsText" text="通过"/>
    <x:cfRule type="containsText" dxfId="8" priority="2" operator="containsText" text="不通过"/>
  </x:conditionalFormatting>
  <x:conditionalFormatting sqref="Q6:Q8">
    <x:cfRule type="containsText" dxfId="9" priority="3" operator="containsText" text="可签约"/>
  </x:conditionalFormatting>
  <x:dataValidations count="6">
    <x:dataValidation type="list" sqref="E6:E8">
      <x:formula1>"待核验,通过,不通过,不适用"</x:formula1>
    </x:dataValidation>
    <x:dataValidation type="list" sqref="G6:G8">
      <x:formula1>"待核验,通过,不通过,不适用"</x:formula1>
    </x:dataValidation>
    <x:dataValidation type="list" sqref="H6:H8">
      <x:formula1>"待核验,通过,不通过,不适用"</x:formula1>
    </x:dataValidation>
    <x:dataValidation type="list" sqref="I6:I8">
      <x:formula1>"待核验,通过,不通过,不适用"</x:formula1>
    </x:dataValidation>
    <x:dataValidation type="list" sqref="J6:J8">
      <x:formula1>"待核验,通过,不通过,不适用"</x:formula1>
    </x:dataValidation>
    <x:dataValidation type="list" sqref="K6:K8">
      <x:formula1>"待核验,通过,不通过,不适用"</x:formula1>
    </x:dataValidation>
  </x:dataValidations>
  <x:pageMargins left="0.7" right="0.7" top="0.75" bottom="0.75" header="0.3" footer="0.3"/>
  <x:tableParts count="1">
    <x:tablePart xmlns:r="http://schemas.openxmlformats.org/officeDocument/2006/relationships" r:id="R5d365ed4f0924c48"/>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6" hidden="0" customWidth="1"/>
    <x:col min="4" max="4" width="20" hidden="0" customWidth="1"/>
    <x:col min="5" max="5" width="35" hidden="0" customWidth="1"/>
    <x:col min="6" max="6" width="14" hidden="0" customWidth="1"/>
    <x:col min="7" max="7" width="14" hidden="0" customWidth="1"/>
    <x:col min="8" max="8" width="15" hidden="0" customWidth="1"/>
    <x:col min="9" max="9" width="58" hidden="0" customWidth="1"/>
    <x:col min="10" max="10" width="58" hidden="0" customWidth="1"/>
    <x:col min="11" max="11" width="48" hidden="0" customWidth="1"/>
    <x:col min="12" max="12" width="22" hidden="0" customWidth="1"/>
    <x:col min="13" max="13" width="15" hidden="0" customWidth="1"/>
    <x:col min="14" max="14" width="40" hidden="0" customWidth="1"/>
    <x:col min="15" max="15" width="15" hidden="0" customWidth="1"/>
    <x:col min="16" max="16" width="39" hidden="0" customWidth="1"/>
    <x:col min="17" max="17" width="42" hidden="0" customWidth="1"/>
    <x:col min="18" max="18" width="42" hidden="0" customWidth="1"/>
  </x:cols>
  <x:sheetData>
    <x:row r="1" ht="32" customHeight="1">
      <x:c r="A1" s="3" t="str">
        <x:v>联系工作台｜先尽调，不先谈上架</x:v>
      </x:c>
      <x:c r="B1" s="3"/>
      <x:c r="C1" s="3"/>
      <x:c r="D1" s="3"/>
      <x:c r="E1" s="3"/>
      <x:c r="F1" s="3"/>
      <x:c r="G1" s="3"/>
      <x:c r="H1" s="3"/>
      <x:c r="I1" s="3"/>
      <x:c r="J1" s="3"/>
      <x:c r="K1" s="3"/>
      <x:c r="L1" s="3"/>
      <x:c r="M1" s="3"/>
      <x:c r="N1" s="3"/>
      <x:c r="O1" s="3"/>
      <x:c r="P1" s="3"/>
      <x:c r="Q1" s="3"/>
      <x:c r="R1" s="3"/>
    </x:row>
    <x:row r="2" ht="30" customHeight="1">
      <x:c r="A2" s="7" t="str">
        <x:v>本页只准备联系话术和记录流程，不代表已经发送。通过平台发现的候选优先在平台内联系，不要求绕开平台结算；不得未经许可使用对方文案、路线、照片或评价。</x:v>
      </x:c>
      <x:c r="B2" s="7"/>
      <x:c r="C2" s="7"/>
      <x:c r="D2" s="7"/>
      <x:c r="E2" s="7"/>
      <x:c r="F2" s="7"/>
      <x:c r="G2" s="7"/>
      <x:c r="H2" s="7"/>
      <x:c r="I2" s="7"/>
      <x:c r="J2" s="7"/>
      <x:c r="K2" s="7"/>
      <x:c r="L2" s="7"/>
      <x:c r="M2" s="7"/>
      <x:c r="N2" s="7"/>
      <x:c r="O2" s="7"/>
      <x:c r="P2" s="7"/>
      <x:c r="Q2" s="7"/>
      <x:c r="R2" s="7"/>
    </x:row>
    <x:row r="5" ht="34" customHeight="1">
      <x:c r="A5" s="11" t="str">
        <x:v>联系ID</x:v>
      </x:c>
      <x:c r="B5" s="11" t="str">
        <x:v>供应商ID</x:v>
      </x:c>
      <x:c r="C5" s="11" t="str">
        <x:v>对应产品</x:v>
      </x:c>
      <x:c r="D5" s="11" t="str">
        <x:v>联系渠道</x:v>
      </x:c>
      <x:c r="E5" s="11" t="str">
        <x:v>公开联系路径</x:v>
      </x:c>
      <x:c r="F5" s="11" t="str">
        <x:v>联系状态</x:v>
      </x:c>
      <x:c r="G5" s="11" t="str">
        <x:v>负责人</x:v>
      </x:c>
      <x:c r="H5" s="11" t="str">
        <x:v>首次联系日期</x:v>
      </x:c>
      <x:c r="I5" s="11" t="str">
        <x:v>中文首封</x:v>
      </x:c>
      <x:c r="J5" s="11" t="str">
        <x:v>English opener</x:v>
      </x:c>
      <x:c r="K5" s="11" t="str">
        <x:v>首轮必须确认</x:v>
      </x:c>
      <x:c r="L5" s="11" t="str">
        <x:v>预期回复时间</x:v>
      </x:c>
      <x:c r="M5" s="11" t="str">
        <x:v>跟进日期</x:v>
      </x:c>
      <x:c r="N5" s="11" t="str">
        <x:v>回复摘要</x:v>
      </x:c>
      <x:c r="O5" s="11" t="str">
        <x:v>决策</x:v>
      </x:c>
      <x:c r="P5" s="11" t="str">
        <x:v>下一步</x:v>
      </x:c>
      <x:c r="Q5" s="11" t="str">
        <x:v>来源URL</x:v>
      </x:c>
      <x:c r="R5" s="11" t="str">
        <x:v>边界提醒</x:v>
      </x:c>
    </x:row>
    <x:row r="6" ht="132" customHeight="1">
      <x:c r="A6" s="19" t="str">
        <x:v>OUT-CQ-001</x:v>
      </x:c>
      <x:c r="B6" s="19" t="str">
        <x:v>SUP-CQ-001</x:v>
      </x:c>
      <x:c r="C6" s="19" t="str">
        <x:v>EXP-CQ-001</x:v>
      </x:c>
      <x:c r="D6" s="19" t="str">
        <x:v>独立站直接联系</x:v>
      </x:c>
      <x:c r="E6" s="19" t="str">
        <x:v>优先使用公开页的Email或WhatsApp；其次Instagram。</x:v>
      </x:c>
      <x:c r="F6" s="19" t="str">
        <x:v>未发送</x:v>
      </x:c>
      <x:c r="G6" s="19"/>
      <x:c r="H6" s="76"/>
      <x:c r="I6" s="19" t="str">
        <x:v>你好 Shiqi，我是 A Deeper China 项目的产品负责人。我们正在把面向外国独立旅行者的重庆深度路书、人工核验和小团体验做成一个长期产品。看到你公开的英语/法语重庆步行项目，想了解你是否愿意讨论合规的产品合作或推荐合作。我们不会未经许可转载你的路线、照片或评价。若方便，希望先用20分钟了解：经营/导游资质与责任主体、语言和档期、人数与合作价、取消规则、保险安全、拍摄边界及结算方式。现阶段只是合作尽调，不代表订单或上架。</x:v>
      </x:c>
      <x:c r="J6" s="19" t="str">
        <x:v>Hello Shiqi, I’m the product lead of A Deeper China. We are building human-checked Chongqing roadbooks and small-group experiences for independent international travelers. I found your multilingual Chongqing walks and would like to explore a compliant product or referral partnership. We will not reuse your routes, photos, or reviews without written permission. Could we have a 20-minute call to understand your operating credentials, languages and availability, group size and partner pricing, cancellation terms, insurance and safety process, filming boundaries, and settlement method? This is an initial due-diligence conversation, not a booking or listing commitment.</x:v>
      </x:c>
      <x:c r="K6" s="19" t="str">
        <x:v>资质与合同主体；英语口试；可接人数和档期；合作价；取消改期；公共责任险；事故处理；路线与影像授权。</x:v>
      </x:c>
      <x:c r="L6" s="19" t="str">
        <x:v>公开页称通常24小时内回复</x:v>
      </x:c>
      <x:c r="M6" s="76"/>
      <x:c r="N6" s="19"/>
      <x:c r="O6" s="19" t="str">
        <x:v>待联系</x:v>
      </x:c>
      <x:c r="P6" s="19" t="str">
        <x:v>确认合适的公开渠道后发送首封；48小时未回复只跟进一次。</x:v>
      </x:c>
      <x:c r="Q6" s="19" t="str">
        <x:v>https://www.yedutrip.com/yedushop/p/chongqing-walking-tour</x:v>
      </x:c>
      <x:c r="R6" s="19" t="str">
        <x:v>不得声称已经合作；不得复制路线文本、照片、评价或引导客户绕开既有合同。</x:v>
      </x:c>
    </x:row>
    <x:row r="7" ht="132" customHeight="1">
      <x:c r="A7" s="20" t="str">
        <x:v>OUT-CQ-002</x:v>
      </x:c>
      <x:c r="B7" s="20" t="str">
        <x:v>SUP-CQ-002</x:v>
      </x:c>
      <x:c r="C7" s="20" t="str">
        <x:v>EXP-CQ-002</x:v>
      </x:c>
      <x:c r="D7" s="20" t="str">
        <x:v>GoWithGuide站内消息</x:v>
      </x:c>
      <x:c r="E7" s="20" t="str">
        <x:v>先通过公开产品页的Message Isa Z.联系。</x:v>
      </x:c>
      <x:c r="F7" s="20" t="str">
        <x:v>未发送</x:v>
      </x:c>
      <x:c r="G7" s="20"/>
      <x:c r="H7" s="77"/>
      <x:c r="I7" s="20" t="str">
        <x:v>你好 Isa，我是 A Deeper China 项目的产品负责人。我们在建设面向外国独立旅行者的重庆深度路书与人工校验服务，在 GoWithGuide 看到你的重庆美食步行产品。我们想了解是否可能在遵守平台规则的前提下讨论内容合作、推荐合作或未来订单合作。首轮希望确认：导游证和责任主体、英文接待、餐厅与过敏SOP、人数与价格、取消、保险、拍摄和结算。我们不会未经许可使用你的照片、评价或产品文案。</x:v>
      </x:c>
      <x:c r="J7" s="20" t="str">
        <x:v>Hello Isa, I’m the product lead of A Deeper China. We are building human-checked Chongqing roadbooks and services for independent international travelers, and I found your Chongqing food walk on GoWithGuide. We would like to explore a content, referral, or future booking partnership while fully respecting the platform’s rules. For an initial conversation, could we confirm your guide credentials and contracting entity, English service, restaurant and allergy SOP, capacity and pricing, cancellation terms, insurance, filming permissions, and settlement process? We will not reuse your photos, reviews, or listing copy without permission.</x:v>
      </x:c>
      <x:c r="K7" s="20" t="str">
        <x:v>导游证原件；平台及线下合作边界；英语口试；过敏/忌口/交叉污染；餐厅备选；价格包含项；保险；拍摄；结算。</x:v>
      </x:c>
      <x:c r="L7" s="20" t="str">
        <x:v>平台消息以实际回复为准</x:v>
      </x:c>
      <x:c r="M7" s="77"/>
      <x:c r="N7" s="20"/>
      <x:c r="O7" s="20" t="str">
        <x:v>待联系</x:v>
      </x:c>
      <x:c r="P7" s="20" t="str">
        <x:v>通过平台发送；不得在首封中要求绕开平台付款。</x:v>
      </x:c>
      <x:c r="Q7" s="20" t="str">
        <x:v>https://gowithguide.com/china/tour/chongqing-chongqing-bites-a-local-food-adventure-on-foot-23431</x:v>
      </x:c>
      <x:c r="R7" s="20" t="str">
        <x:v>公开平台资料只是候选线索；不得把平台身份核验等同于我方尽调。</x:v>
      </x:c>
    </x:row>
    <x:row r="8" ht="132" customHeight="1">
      <x:c r="A8" s="21" t="str">
        <x:v>OUT-CQ-003</x:v>
      </x:c>
      <x:c r="B8" s="21" t="str">
        <x:v>SUP-CQ-003</x:v>
      </x:c>
      <x:c r="C8" s="21" t="str">
        <x:v>EXP-CQ-003</x:v>
      </x:c>
      <x:c r="D8" s="21" t="str">
        <x:v>GoWithGuide站内消息</x:v>
      </x:c>
      <x:c r="E8" s="21" t="str">
        <x:v>先通过公开产品页的Message Lisa F.联系。</x:v>
      </x:c>
      <x:c r="F8" s="21" t="str">
        <x:v>未发送</x:v>
      </x:c>
      <x:c r="G8" s="21"/>
      <x:c r="H8" s="78"/>
      <x:c r="I8" s="21" t="str">
        <x:v>你好 Lisa，我是 A Deeper China 项目的产品负责人。我们在建设面向外国独立旅行者的重庆深度路书与人工校验服务，在 GoWithGuide 看到你的茶馆、本地社区和小吃体验。我们希望在遵守平台规则的前提下了解合作可能。首轮重点是：导游/经营资质、英语、茶馆和场地方许可、常客隐私与拍摄边界、人数价格、取消、保险和结算。我们不会未经许可使用你的照片、评价或路线文案。</x:v>
      </x:c>
      <x:c r="J8" s="21" t="str">
        <x:v>Hello Lisa, I’m the product lead of A Deeper China. We are building human-checked Chongqing roadbooks and services for independent international travelers, and I found your teahouse and local-neighborhood experience on GoWithGuide. We would like to explore a possible partnership while respecting the platform’s rules. Our initial due diligence would cover your guide or operating credentials, English service, venue permissions, guest privacy and filming boundaries, capacity and pricing, cancellation terms, insurance, and settlement. We will not reuse your photos, reviews, or route copy without permission.</x:v>
      </x:c>
      <x:c r="K8" s="21" t="str">
        <x:v>资质与责任主体；英语口试；茶馆书面许可；常客隐私；烟味和儿童提示；价格人数；取消；保险；商业拍摄；结算。</x:v>
      </x:c>
      <x:c r="L8" s="21" t="str">
        <x:v>平台资料称平均回复约2小时，仍以实际为准</x:v>
      </x:c>
      <x:c r="M8" s="78"/>
      <x:c r="N8" s="21"/>
      <x:c r="O8" s="21" t="str">
        <x:v>待联系</x:v>
      </x:c>
      <x:c r="P8" s="21" t="str">
        <x:v>通过平台发送；同时独立联系交通茶馆场地方确认规则。</x:v>
      </x:c>
      <x:c r="Q8" s="21" t="str">
        <x:v>https://gowithguide.com/china/tour/chongqing-beyond-tourist-chongqing-teahouse-local-snacks-included-23763</x:v>
      </x:c>
      <x:c r="R8" s="21" t="str">
        <x:v>不得承诺可拍摄居民；不得把场地方公共开放理解为商业团接待许可。</x:v>
      </x:c>
    </x:row>
  </x:sheetData>
  <x:mergeCells>
    <x:mergeCell ref="A1:R1"/>
    <x:mergeCell ref="A2:R2"/>
  </x:mergeCells>
  <x:conditionalFormatting sqref="F6:F8">
    <x:cfRule type="containsText" dxfId="10" priority="1" operator="containsText" text="已回复"/>
    <x:cfRule type="containsText" dxfId="11" priority="2" operator="containsText" text="跟进中"/>
  </x:conditionalFormatting>
  <x:dataValidations count="2">
    <x:dataValidation type="list" sqref="F6:F8">
      <x:formula1>"未发送,已发送,已回复,跟进中,已结束"</x:formula1>
    </x:dataValidation>
    <x:dataValidation type="list" sqref="O6:O8">
      <x:formula1>"待联系,进入尽调,暂缓,淘汰,已签约"</x:formula1>
    </x:dataValidation>
  </x:dataValidations>
  <x:pageMargins left="0.7" right="0.7" top="0.75" bottom="0.75" header="0.3" footer="0.3"/>
  <x:tableParts count="1">
    <x:tablePart xmlns:r="http://schemas.openxmlformats.org/officeDocument/2006/relationships" r:id="Ra00413a64b7b48e4"/>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9" hidden="0" customWidth="1"/>
    <x:col min="4" max="4" width="11" hidden="0" customWidth="1"/>
    <x:col min="5" max="5" width="17" hidden="0" customWidth="1"/>
    <x:col min="6" max="6" width="25" hidden="0" customWidth="1"/>
    <x:col min="7" max="7" width="15" hidden="0" customWidth="1"/>
    <x:col min="8" max="8" width="14" hidden="0" customWidth="1"/>
    <x:col min="9" max="9" width="18" hidden="0" customWidth="1"/>
    <x:col min="10" max="10" width="18" hidden="0" customWidth="1"/>
    <x:col min="11" max="11" width="13" hidden="0" customWidth="1"/>
    <x:col min="12" max="12" width="13" hidden="0" customWidth="1"/>
    <x:col min="13" max="13" width="14" hidden="0" customWidth="1"/>
    <x:col min="14" max="14" width="12" hidden="0" customWidth="1"/>
    <x:col min="15" max="15" width="27" hidden="0" customWidth="1"/>
    <x:col min="16" max="16" width="32" hidden="0" customWidth="1"/>
    <x:col min="17" max="17" width="31" hidden="0" customWidth="1"/>
    <x:col min="18" max="18" width="33" hidden="0" customWidth="1"/>
    <x:col min="19" max="19" width="31" hidden="0" customWidth="1"/>
    <x:col min="20" max="20" width="39" hidden="0" customWidth="1"/>
    <x:col min="21" max="21" width="14" hidden="0" customWidth="1"/>
    <x:col min="22" max="22" width="42" hidden="0" customWidth="1"/>
  </x:cols>
  <x:sheetData>
    <x:row r="1" ht="32" customHeight="1">
      <x:c r="A1" s="3" t="str">
        <x:v>实走记录｜前5项路线拆成10次可验证任务</x:v>
      </x:c>
      <x:c r="B1" s="3"/>
      <x:c r="C1" s="3"/>
      <x:c r="D1" s="3"/>
      <x:c r="E1" s="3"/>
      <x:c r="F1" s="3"/>
      <x:c r="G1" s="3"/>
      <x:c r="H1" s="3"/>
      <x:c r="I1" s="3"/>
      <x:c r="J1" s="3"/>
      <x:c r="K1" s="3"/>
      <x:c r="L1" s="3"/>
      <x:c r="M1" s="3"/>
      <x:c r="N1" s="3"/>
      <x:c r="O1" s="3"/>
      <x:c r="P1" s="3"/>
      <x:c r="Q1" s="3"/>
      <x:c r="R1" s="3"/>
      <x:c r="S1" s="3"/>
      <x:c r="T1" s="3"/>
      <x:c r="U1" s="3"/>
      <x:c r="V1" s="3"/>
    </x:row>
    <x:row r="2" ht="30" customHeight="1">
      <x:c r="A2" s="7" t="str">
        <x:v>不要一次走完后凭记忆补表。每次只验证一个场景，现场记录入口、时间、步数、高差、厕所、退出点和证据链接；结果为“不通过”时先改路线，不得改成主观“基本可用”。</x:v>
      </x:c>
      <x:c r="B2" s="7"/>
      <x:c r="C2" s="7"/>
      <x:c r="D2" s="7"/>
      <x:c r="E2" s="7"/>
      <x:c r="F2" s="7"/>
      <x:c r="G2" s="7"/>
      <x:c r="H2" s="7"/>
      <x:c r="I2" s="7"/>
      <x:c r="J2" s="7"/>
      <x:c r="K2" s="7"/>
      <x:c r="L2" s="7"/>
      <x:c r="M2" s="7"/>
      <x:c r="N2" s="7"/>
      <x:c r="O2" s="7"/>
      <x:c r="P2" s="7"/>
      <x:c r="Q2" s="7"/>
      <x:c r="R2" s="7"/>
      <x:c r="S2" s="7"/>
      <x:c r="T2" s="7"/>
      <x:c r="U2" s="7"/>
      <x:c r="V2" s="7"/>
    </x:row>
    <x:row r="5" ht="34" customHeight="1">
      <x:c r="A5" s="11" t="str">
        <x:v>记录ID</x:v>
      </x:c>
      <x:c r="B5" s="11" t="str">
        <x:v>首发ID</x:v>
      </x:c>
      <x:c r="C5" s="11" t="str">
        <x:v>核验场景</x:v>
      </x:c>
      <x:c r="D5" s="11" t="str">
        <x:v>建议顺序</x:v>
      </x:c>
      <x:c r="E5" s="11" t="str">
        <x:v>方式</x:v>
      </x:c>
      <x:c r="F5" s="11" t="str">
        <x:v>建议时段</x:v>
      </x:c>
      <x:c r="G5" s="11" t="str">
        <x:v>计划日期</x:v>
      </x:c>
      <x:c r="H5" s="11" t="str">
        <x:v>核验人</x:v>
      </x:c>
      <x:c r="I5" s="11" t="str">
        <x:v>同行测试者</x:v>
      </x:c>
      <x:c r="J5" s="11" t="str">
        <x:v>天气/人流</x:v>
      </x:c>
      <x:c r="K5" s="11" t="str">
        <x:v>开始时间</x:v>
      </x:c>
      <x:c r="L5" s="11" t="str">
        <x:v>结束时间</x:v>
      </x:c>
      <x:c r="M5" s="11" t="str">
        <x:v>实际分钟</x:v>
      </x:c>
      <x:c r="N5" s="11" t="str">
        <x:v>步数</x:v>
      </x:c>
      <x:c r="O5" s="11" t="str">
        <x:v>连续台阶/坡度</x:v>
      </x:c>
      <x:c r="P5" s="11" t="str">
        <x:v>正确入口/出口</x:v>
      </x:c>
      <x:c r="Q5" s="11" t="str">
        <x:v>厕所/座椅/补水</x:v>
      </x:c>
      <x:c r="R5" s="11" t="str">
        <x:v>拥挤/安全/隐私</x:v>
      </x:c>
      <x:c r="S5" s="11" t="str">
        <x:v>替代与退出点</x:v>
      </x:c>
      <x:c r="T5" s="11" t="str">
        <x:v>证据链接</x:v>
      </x:c>
      <x:c r="U5" s="11" t="str">
        <x:v>结果</x:v>
      </x:c>
      <x:c r="V5" s="11" t="str">
        <x:v>问题与修改</x:v>
      </x:c>
    </x:row>
    <x:row r="6" ht="64" customHeight="1">
      <x:c r="A6" s="19" t="str">
        <x:v>RUN001</x:v>
      </x:c>
      <x:c r="B6" s="19" t="str">
        <x:v>LFV001</x:v>
      </x:c>
      <x:c r="C6" s="19" t="str">
        <x:v>解放碑—魁星楼—洪崖洞外观：白天基线</x:v>
      </x:c>
      <x:c r="D6" s="19" t="n">
        <x:v>1</x:v>
      </x:c>
      <x:c r="E6" s="19" t="str">
        <x:v>完整实走</x:v>
      </x:c>
      <x:c r="F6" s="19" t="str">
        <x:v>工作日10:00—14:00</x:v>
      </x:c>
      <x:c r="G6" s="76"/>
      <x:c r="H6" s="19"/>
      <x:c r="I6" s="19"/>
      <x:c r="J6" s="19"/>
      <x:c r="K6" s="79"/>
      <x:c r="L6" s="79"/>
      <x:c r="M6" s="19"/>
      <x:c r="N6" s="19"/>
      <x:c r="O6" s="19"/>
      <x:c r="P6" s="19"/>
      <x:c r="Q6" s="19"/>
      <x:c r="R6" s="19"/>
      <x:c r="S6" s="19"/>
      <x:c r="T6" s="19"/>
      <x:c r="U6" s="19" t="str">
        <x:v>待执行</x:v>
      </x:c>
      <x:c r="V6" s="19"/>
    </x:row>
    <x:row r="7" ht="64" customHeight="1">
      <x:c r="A7" s="20" t="str">
        <x:v>RUN002</x:v>
      </x:c>
      <x:c r="B7" s="20" t="str">
        <x:v>LFV001</x:v>
      </x:c>
      <x:c r="C7" s="20" t="str">
        <x:v>洪崖洞外观—千厮门—大剧院江岸：周末夜间</x:v>
      </x:c>
      <x:c r="D7" s="20" t="n">
        <x:v>2</x:v>
      </x:c>
      <x:c r="E7" s="20" t="str">
        <x:v>夜间复走</x:v>
      </x:c>
      <x:c r="F7" s="20" t="str">
        <x:v>周五或周六19:00—22:00</x:v>
      </x:c>
      <x:c r="G7" s="77"/>
      <x:c r="H7" s="20"/>
      <x:c r="I7" s="20"/>
      <x:c r="J7" s="20"/>
      <x:c r="K7" s="80"/>
      <x:c r="L7" s="80"/>
      <x:c r="M7" s="20"/>
      <x:c r="N7" s="20"/>
      <x:c r="O7" s="20"/>
      <x:c r="P7" s="20"/>
      <x:c r="Q7" s="20"/>
      <x:c r="R7" s="20"/>
      <x:c r="S7" s="20"/>
      <x:c r="T7" s="20"/>
      <x:c r="U7" s="20" t="str">
        <x:v>待执行</x:v>
      </x:c>
      <x:c r="V7" s="20"/>
    </x:row>
    <x:row r="8" ht="64" customHeight="1">
      <x:c r="A8" s="20" t="str">
        <x:v>RUN003</x:v>
      </x:c>
      <x:c r="B8" s="20" t="str">
        <x:v>LFV002</x:v>
      </x:c>
      <x:c r="C8" s="20" t="str">
        <x:v>朝天门江岸：普通天气入口与低体力版本</x:v>
      </x:c>
      <x:c r="D8" s="20" t="n">
        <x:v>3</x:v>
      </x:c>
      <x:c r="E8" s="20" t="str">
        <x:v>入口核验</x:v>
      </x:c>
      <x:c r="F8" s="20" t="str">
        <x:v>工作日15:00—17:00</x:v>
      </x:c>
      <x:c r="G8" s="77"/>
      <x:c r="H8" s="20"/>
      <x:c r="I8" s="20"/>
      <x:c r="J8" s="20"/>
      <x:c r="K8" s="80"/>
      <x:c r="L8" s="80"/>
      <x:c r="M8" s="20"/>
      <x:c r="N8" s="20"/>
      <x:c r="O8" s="20"/>
      <x:c r="P8" s="20"/>
      <x:c r="Q8" s="20"/>
      <x:c r="R8" s="20"/>
      <x:c r="S8" s="20"/>
      <x:c r="T8" s="20"/>
      <x:c r="U8" s="20" t="str">
        <x:v>待执行</x:v>
      </x:c>
      <x:c r="V8" s="20"/>
    </x:row>
    <x:row r="9" ht="64" customHeight="1">
      <x:c r="A9" s="20" t="str">
        <x:v>RUN004</x:v>
      </x:c>
      <x:c r="B9" s="20" t="str">
        <x:v>LFV002</x:v>
      </x:c>
      <x:c r="C9" s="20" t="str">
        <x:v>朝天门江岸：雨天或高温替代</x:v>
      </x:c>
      <x:c r="D9" s="20" t="n">
        <x:v>4</x:v>
      </x:c>
      <x:c r="E9" s="20" t="str">
        <x:v>条件复测</x:v>
      </x:c>
      <x:c r="F9" s="20" t="str">
        <x:v>小雨或高温日15:00—17:00</x:v>
      </x:c>
      <x:c r="G9" s="77"/>
      <x:c r="H9" s="20"/>
      <x:c r="I9" s="20"/>
      <x:c r="J9" s="20"/>
      <x:c r="K9" s="80"/>
      <x:c r="L9" s="80"/>
      <x:c r="M9" s="20"/>
      <x:c r="N9" s="20"/>
      <x:c r="O9" s="20"/>
      <x:c r="P9" s="20"/>
      <x:c r="Q9" s="20"/>
      <x:c r="R9" s="20"/>
      <x:c r="S9" s="20"/>
      <x:c r="T9" s="20"/>
      <x:c r="U9" s="20" t="str">
        <x:v>待执行</x:v>
      </x:c>
      <x:c r="V9" s="20"/>
    </x:row>
    <x:row r="10" ht="64" customHeight="1">
      <x:c r="A10" s="20" t="str">
        <x:v>RUN005</x:v>
      </x:c>
      <x:c r="B10" s="20" t="str">
        <x:v>LFV003</x:v>
      </x:c>
      <x:c r="C10" s="20" t="str">
        <x:v>湖广会馆：护照票务、英文、拍摄与开放电话核验</x:v>
      </x:c>
      <x:c r="D10" s="20" t="n">
        <x:v>5</x:v>
      </x:c>
      <x:c r="E10" s="20" t="str">
        <x:v>电话/书面确认</x:v>
      </x:c>
      <x:c r="F10" s="20" t="str">
        <x:v>工作日办公时间</x:v>
      </x:c>
      <x:c r="G10" s="77"/>
      <x:c r="H10" s="20"/>
      <x:c r="I10" s="20"/>
      <x:c r="J10" s="20"/>
      <x:c r="K10" s="80"/>
      <x:c r="L10" s="80"/>
      <x:c r="M10" s="20"/>
      <x:c r="N10" s="20"/>
      <x:c r="O10" s="20"/>
      <x:c r="P10" s="20"/>
      <x:c r="Q10" s="20"/>
      <x:c r="R10" s="20"/>
      <x:c r="S10" s="20"/>
      <x:c r="T10" s="20"/>
      <x:c r="U10" s="20" t="str">
        <x:v>待执行</x:v>
      </x:c>
      <x:c r="V10" s="20"/>
    </x:row>
    <x:row r="11" ht="64" customHeight="1">
      <x:c r="A11" s="20" t="str">
        <x:v>RUN006</x:v>
      </x:c>
      <x:c r="B11" s="20" t="str">
        <x:v>LFV003</x:v>
      </x:c>
      <x:c r="C11" s="20" t="str">
        <x:v>湖广会馆—东水门—白象街：完整连通</x:v>
      </x:c>
      <x:c r="D11" s="20" t="n">
        <x:v>6</x:v>
      </x:c>
      <x:c r="E11" s="20" t="str">
        <x:v>完整实走</x:v>
      </x:c>
      <x:c r="F11" s="20" t="str">
        <x:v>工作日09:30—13:00</x:v>
      </x:c>
      <x:c r="G11" s="77"/>
      <x:c r="H11" s="20"/>
      <x:c r="I11" s="20"/>
      <x:c r="J11" s="20"/>
      <x:c r="K11" s="80"/>
      <x:c r="L11" s="80"/>
      <x:c r="M11" s="20"/>
      <x:c r="N11" s="20"/>
      <x:c r="O11" s="20"/>
      <x:c r="P11" s="20"/>
      <x:c r="Q11" s="20"/>
      <x:c r="R11" s="20"/>
      <x:c r="S11" s="20"/>
      <x:c r="T11" s="20"/>
      <x:c r="U11" s="20" t="str">
        <x:v>待执行</x:v>
      </x:c>
      <x:c r="V11" s="20"/>
    </x:row>
    <x:row r="12" ht="64" customHeight="1">
      <x:c r="A12" s="20" t="str">
        <x:v>RUN007</x:v>
      </x:c>
      <x:c r="B12" s="20" t="str">
        <x:v>LFV004</x:v>
      </x:c>
      <x:c r="C12" s="20" t="str">
        <x:v>通远门—山城巷自上而下：干燥路面</x:v>
      </x:c>
      <x:c r="D12" s="20" t="n">
        <x:v>7</x:v>
      </x:c>
      <x:c r="E12" s="20" t="str">
        <x:v>完整实走</x:v>
      </x:c>
      <x:c r="F12" s="20" t="str">
        <x:v>工作日上午</x:v>
      </x:c>
      <x:c r="G12" s="77"/>
      <x:c r="H12" s="20"/>
      <x:c r="I12" s="20"/>
      <x:c r="J12" s="20"/>
      <x:c r="K12" s="80"/>
      <x:c r="L12" s="80"/>
      <x:c r="M12" s="20"/>
      <x:c r="N12" s="20"/>
      <x:c r="O12" s="20"/>
      <x:c r="P12" s="20"/>
      <x:c r="Q12" s="20"/>
      <x:c r="R12" s="20"/>
      <x:c r="S12" s="20"/>
      <x:c r="T12" s="20"/>
      <x:c r="U12" s="20" t="str">
        <x:v>待执行</x:v>
      </x:c>
      <x:c r="V12" s="20"/>
    </x:row>
    <x:row r="13" ht="64" customHeight="1">
      <x:c r="A13" s="20" t="str">
        <x:v>RUN008</x:v>
      </x:c>
      <x:c r="B13" s="20" t="str">
        <x:v>LFV004</x:v>
      </x:c>
      <x:c r="C13" s="20" t="str">
        <x:v>通远门—山城巷：雨后路面与退出点</x:v>
      </x:c>
      <x:c r="D13" s="20" t="n">
        <x:v>8</x:v>
      </x:c>
      <x:c r="E13" s="20" t="str">
        <x:v>条件复测</x:v>
      </x:c>
      <x:c r="F13" s="20" t="str">
        <x:v>小雨停止后1—3小时</x:v>
      </x:c>
      <x:c r="G13" s="77"/>
      <x:c r="H13" s="20"/>
      <x:c r="I13" s="20"/>
      <x:c r="J13" s="20"/>
      <x:c r="K13" s="80"/>
      <x:c r="L13" s="80"/>
      <x:c r="M13" s="20"/>
      <x:c r="N13" s="20"/>
      <x:c r="O13" s="20"/>
      <x:c r="P13" s="20"/>
      <x:c r="Q13" s="20"/>
      <x:c r="R13" s="20"/>
      <x:c r="S13" s="20"/>
      <x:c r="T13" s="20"/>
      <x:c r="U13" s="20" t="str">
        <x:v>待执行</x:v>
      </x:c>
      <x:c r="V13" s="20"/>
    </x:row>
    <x:row r="14" ht="64" customHeight="1">
      <x:c r="A14" s="20" t="str">
        <x:v>RUN009</x:v>
      </x:c>
      <x:c r="B14" s="20" t="str">
        <x:v>LFV005</x:v>
      </x:c>
      <x:c r="C14" s="20" t="str">
        <x:v>轨道2号线—李子坝：非高峰车内观察</x:v>
      </x:c>
      <x:c r="D14" s="20" t="n">
        <x:v>9</x:v>
      </x:c>
      <x:c r="E14" s="20" t="str">
        <x:v>往返实测</x:v>
      </x:c>
      <x:c r="F14" s="20" t="str">
        <x:v>工作日10:00—15:00</x:v>
      </x:c>
      <x:c r="G14" s="77"/>
      <x:c r="H14" s="20"/>
      <x:c r="I14" s="20"/>
      <x:c r="J14" s="20"/>
      <x:c r="K14" s="80"/>
      <x:c r="L14" s="80"/>
      <x:c r="M14" s="20"/>
      <x:c r="N14" s="20"/>
      <x:c r="O14" s="20"/>
      <x:c r="P14" s="20"/>
      <x:c r="Q14" s="20"/>
      <x:c r="R14" s="20"/>
      <x:c r="S14" s="20"/>
      <x:c r="T14" s="20"/>
      <x:c r="U14" s="20" t="str">
        <x:v>待执行</x:v>
      </x:c>
      <x:c r="V14" s="20"/>
    </x:row>
    <x:row r="15" ht="64" customHeight="1">
      <x:c r="A15" s="21" t="str">
        <x:v>RUN010</x:v>
      </x:c>
      <x:c r="B15" s="21" t="str">
        <x:v>LFV005</x:v>
      </x:c>
      <x:c r="C15" s="21" t="str">
        <x:v>轨道2号线—李子坝：周末人流与施工替代</x:v>
      </x:c>
      <x:c r="D15" s="21" t="n">
        <x:v>10</x:v>
      </x:c>
      <x:c r="E15" s="21" t="str">
        <x:v>高峰复测</x:v>
      </x:c>
      <x:c r="F15" s="21" t="str">
        <x:v>周末15:00—18:00</x:v>
      </x:c>
      <x:c r="G15" s="78"/>
      <x:c r="H15" s="21"/>
      <x:c r="I15" s="21"/>
      <x:c r="J15" s="21"/>
      <x:c r="K15" s="81"/>
      <x:c r="L15" s="81"/>
      <x:c r="M15" s="21"/>
      <x:c r="N15" s="21"/>
      <x:c r="O15" s="21"/>
      <x:c r="P15" s="21"/>
      <x:c r="Q15" s="21"/>
      <x:c r="R15" s="21"/>
      <x:c r="S15" s="21"/>
      <x:c r="T15" s="21"/>
      <x:c r="U15" s="21" t="str">
        <x:v>待执行</x:v>
      </x:c>
      <x:c r="V15" s="21"/>
    </x:row>
  </x:sheetData>
  <x:mergeCells>
    <x:mergeCell ref="A1:V1"/>
    <x:mergeCell ref="A2:V2"/>
  </x:mergeCells>
  <x:conditionalFormatting sqref="U6:U15">
    <x:cfRule type="containsText" dxfId="12" priority="1" operator="containsText" text="通过"/>
    <x:cfRule type="containsText" dxfId="13" priority="2" operator="containsText" text="不通过"/>
  </x:conditionalFormatting>
  <x:dataValidations count="1">
    <x:dataValidation type="list" sqref="U6:U15">
      <x:formula1>"待执行,通过,不通过,待复核"</x:formula1>
    </x:dataValidation>
  </x:dataValidations>
  <x:pageMargins left="0.7" right="0.7" top="0.75" bottom="0.75" header="0.3" footer="0.3"/>
  <x:tableParts count="1">
    <x:tablePart xmlns:r="http://schemas.openxmlformats.org/officeDocument/2006/relationships" r:id="Rf213e47951f742e9"/>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55" hidden="0" customWidth="1"/>
    <x:col min="4" max="4" width="48" hidden="0" customWidth="1"/>
    <x:col min="5" max="5" width="16" hidden="0" customWidth="1"/>
    <x:col min="6" max="6" width="40" hidden="0" customWidth="1"/>
    <x:col min="7" max="7" width="16" hidden="0" customWidth="1"/>
    <x:col min="8" max="8" width="40" hidden="0" customWidth="1"/>
    <x:col min="9" max="9" width="16" hidden="0" customWidth="1"/>
    <x:col min="10" max="10" width="40" hidden="0" customWidth="1"/>
  </x:cols>
  <x:sheetData>
    <x:row r="1" ht="32" customHeight="1">
      <x:c r="A1" s="3" t="str">
        <x:v>英语口试｜用真实服务场景测试，不看自我介绍</x:v>
      </x:c>
      <x:c r="B1" s="3"/>
      <x:c r="C1" s="3"/>
      <x:c r="D1" s="3"/>
      <x:c r="E1" s="3"/>
      <x:c r="F1" s="3"/>
      <x:c r="G1" s="3"/>
      <x:c r="H1" s="3"/>
      <x:c r="I1" s="3"/>
      <x:c r="J1" s="3"/>
    </x:row>
    <x:row r="2" ht="30" customHeight="1">
      <x:c r="A2" s="7" t="str">
        <x:v>每项0—5分：0无法回答，3可完成基本服务，5能准确、自然并处理边界。加权总分≥80为通过，60—79复测，低于60不通过；结果自动写回供应商档案的“英语实测”。</x:v>
      </x:c>
      <x:c r="B2" s="7"/>
      <x:c r="C2" s="7"/>
      <x:c r="D2" s="7"/>
      <x:c r="E2" s="7"/>
      <x:c r="F2" s="7"/>
      <x:c r="G2" s="7"/>
      <x:c r="H2" s="7"/>
      <x:c r="I2" s="7"/>
      <x:c r="J2" s="7"/>
    </x:row>
    <x:row r="5" ht="34" customHeight="1">
      <x:c r="A5" s="11" t="str">
        <x:v>项目</x:v>
      </x:c>
      <x:c r="B5" s="11" t="str">
        <x:v>权重</x:v>
      </x:c>
      <x:c r="C5" s="11" t="str">
        <x:v>测试场景/问题</x:v>
      </x:c>
      <x:c r="D5" s="11" t="str">
        <x:v>通过证据</x:v>
      </x:c>
      <x:c r="E5" s="11" t="str">
        <x:v>SUP-CQ-001分数</x:v>
      </x:c>
      <x:c r="F5" s="11" t="str">
        <x:v>SUP-CQ-001记录</x:v>
      </x:c>
      <x:c r="G5" s="11" t="str">
        <x:v>SUP-CQ-002分数</x:v>
      </x:c>
      <x:c r="H5" s="11" t="str">
        <x:v>SUP-CQ-002记录</x:v>
      </x:c>
      <x:c r="I5" s="11" t="str">
        <x:v>SUP-CQ-003分数</x:v>
      </x:c>
      <x:c r="J5" s="11" t="str">
        <x:v>SUP-CQ-003记录</x:v>
      </x:c>
    </x:row>
    <x:row r="6" ht="58" customHeight="1">
      <x:c r="A6" s="19" t="str">
        <x:v>90秒自我介绍</x:v>
      </x:c>
      <x:c r="B6" s="19" t="n">
        <x:v>10</x:v>
      </x:c>
      <x:c r="C6" s="19" t="str">
        <x:v>Please introduce yourself and explain what makes your Chongqing experience different in under 90 seconds.</x:v>
      </x:c>
      <x:c r="D6" s="19" t="str">
        <x:v>表达自然、信息有取舍，不依赖逐字背稿。</x:v>
      </x:c>
      <x:c r="E6" s="19"/>
      <x:c r="F6" s="19"/>
      <x:c r="G6" s="19"/>
      <x:c r="H6" s="19"/>
      <x:c r="I6" s="19"/>
      <x:c r="J6" s="19"/>
    </x:row>
    <x:row r="7" ht="58" customHeight="1">
      <x:c r="A7" s="20" t="str">
        <x:v>解释多重地面</x:v>
      </x:c>
      <x:c r="B7" s="20" t="n">
        <x:v>15</x:v>
      </x:c>
      <x:c r="C7" s="20" t="str">
        <x:v>Explain why the 22nd floor can also feel like street level in Chongqing.</x:v>
      </x:c>
      <x:c r="D7" s="20" t="str">
        <x:v>能用普通游客听得懂的语言解释地形，不只说8D/cyberpunk。</x:v>
      </x:c>
      <x:c r="E7" s="20"/>
      <x:c r="F7" s="20"/>
      <x:c r="G7" s="20"/>
      <x:c r="H7" s="20"/>
      <x:c r="I7" s="20"/>
      <x:c r="J7" s="20"/>
    </x:row>
    <x:row r="8" ht="58" customHeight="1">
      <x:c r="A8" s="20" t="str">
        <x:v>低体力改线</x:v>
      </x:c>
      <x:c r="B8" s="20" t="n">
        <x:v>10</x:v>
      </x:c>
      <x:c r="C8" s="20" t="str">
        <x:v>A guest’s mother cannot manage repeated stairs. How would you redesign the next two hours?</x:v>
      </x:c>
      <x:c r="D8" s="20" t="str">
        <x:v>先确认能力，再给具体替代、休息和退出点。</x:v>
      </x:c>
      <x:c r="E8" s="20"/>
      <x:c r="F8" s="20"/>
      <x:c r="G8" s="20"/>
      <x:c r="H8" s="20"/>
      <x:c r="I8" s="20"/>
      <x:c r="J8" s="20"/>
    </x:row>
    <x:row r="9" ht="58" customHeight="1">
      <x:c r="A9" s="20" t="str">
        <x:v>过敏与饮食</x:v>
      </x:c>
      <x:c r="B9" s="20" t="n">
        <x:v>15</x:v>
      </x:c>
      <x:c r="C9" s="20" t="str">
        <x:v>A guest has a severe peanut allergy and cannot eat spicy food. What must be confirmed before the meal?</x:v>
      </x:c>
      <x:c r="D9" s="20" t="str">
        <x:v>不做医疗保证；能说明交叉污染、店方确认和替代方案。</x:v>
      </x:c>
      <x:c r="E9" s="20"/>
      <x:c r="F9" s="20"/>
      <x:c r="G9" s="20"/>
      <x:c r="H9" s="20"/>
      <x:c r="I9" s="20"/>
      <x:c r="J9" s="20"/>
    </x:row>
    <x:row r="10" ht="58" customHeight="1">
      <x:c r="A10" s="20" t="str">
        <x:v>英文导航</x:v>
      </x:c>
      <x:c r="B10" s="20" t="n">
        <x:v>10</x:v>
      </x:c>
      <x:c r="C10" s="20" t="str">
        <x:v>Give a foreign guest clear directions from a metro exit to the meeting point.</x:v>
      </x:c>
      <x:c r="D10" s="20" t="str">
        <x:v>包含出口、地标、步行分钟、上下坡和联系办法。</x:v>
      </x:c>
      <x:c r="E10" s="20"/>
      <x:c r="F10" s="20"/>
      <x:c r="G10" s="20"/>
      <x:c r="H10" s="20"/>
      <x:c r="I10" s="20"/>
      <x:c r="J10" s="20"/>
    </x:row>
    <x:row r="11" ht="58" customHeight="1">
      <x:c r="A11" s="20" t="str">
        <x:v>投诉处理</x:v>
      </x:c>
      <x:c r="B11" s="20" t="n">
        <x:v>10</x:v>
      </x:c>
      <x:c r="C11" s="20" t="str">
        <x:v>The guest says the experience is too crowded and not what was promised. How do you respond?</x:v>
      </x:c>
      <x:c r="D11" s="20" t="str">
        <x:v>先承认问题，再给可执行补救，不争辩或甩锅。</x:v>
      </x:c>
      <x:c r="E11" s="20"/>
      <x:c r="F11" s="20"/>
      <x:c r="G11" s="20"/>
      <x:c r="H11" s="20"/>
      <x:c r="I11" s="20"/>
      <x:c r="J11" s="20"/>
    </x:row>
    <x:row r="12" ht="58" customHeight="1">
      <x:c r="A12" s="20" t="str">
        <x:v>取消改期</x:v>
      </x:c>
      <x:c r="B12" s="20" t="n">
        <x:v>10</x:v>
      </x:c>
      <x:c r="C12" s="20" t="str">
        <x:v>Explain the cancellation and rescheduling rules without creating ambiguity.</x:v>
      </x:c>
      <x:c r="D12" s="20" t="str">
        <x:v>能准确说明时间节点、退款比例、不可抗力和责任主体。</x:v>
      </x:c>
      <x:c r="E12" s="20"/>
      <x:c r="F12" s="20"/>
      <x:c r="G12" s="20"/>
      <x:c r="H12" s="20"/>
      <x:c r="I12" s="20"/>
      <x:c r="J12" s="20"/>
    </x:row>
    <x:row r="13" ht="58" customHeight="1">
      <x:c r="A13" s="20" t="str">
        <x:v>拍摄与隐私</x:v>
      </x:c>
      <x:c r="B13" s="20" t="n">
        <x:v>10</x:v>
      </x:c>
      <x:c r="C13" s="20" t="str">
        <x:v>A guest wants to film local residents in a teahouse for a commercial video. What do you do?</x:v>
      </x:c>
      <x:c r="D13" s="20" t="str">
        <x:v>区分公共空间、个人同意、店方许可和商业拍摄。</x:v>
      </x:c>
      <x:c r="E13" s="20"/>
      <x:c r="F13" s="20"/>
      <x:c r="G13" s="20"/>
      <x:c r="H13" s="20"/>
      <x:c r="I13" s="20"/>
      <x:c r="J13" s="20"/>
    </x:row>
    <x:row r="14" ht="58" customHeight="1">
      <x:c r="A14" s="20" t="str">
        <x:v>紧急情况</x:v>
      </x:c>
      <x:c r="B14" s="20" t="n">
        <x:v>5</x:v>
      </x:c>
      <x:c r="C14" s="20" t="str">
        <x:v>A guest slips on wet stairs and cannot continue. What are your first three actions?</x:v>
      </x:c>
      <x:c r="D14" s="20" t="str">
        <x:v>先安全和医疗，再联系责任主体与记录，不继续赶行程。</x:v>
      </x:c>
      <x:c r="E14" s="20"/>
      <x:c r="F14" s="20"/>
      <x:c r="G14" s="20"/>
      <x:c r="H14" s="20"/>
      <x:c r="I14" s="20"/>
      <x:c r="J14" s="20"/>
    </x:row>
    <x:row r="15" ht="58" customHeight="1">
      <x:c r="A15" s="21" t="str">
        <x:v>确认理解</x:v>
      </x:c>
      <x:c r="B15" s="21" t="n">
        <x:v>5</x:v>
      </x:c>
      <x:c r="C15" s="21" t="str">
        <x:v>At the end of your explanation, check whether the guest understood the plan and risks.</x:v>
      </x:c>
      <x:c r="D15" s="21" t="str">
        <x:v>使用开放式复述或teach-back，不只问Do you understand?</x:v>
      </x:c>
      <x:c r="E15" s="21"/>
      <x:c r="F15" s="21"/>
      <x:c r="G15" s="21"/>
      <x:c r="H15" s="21"/>
      <x:c r="I15" s="21"/>
      <x:c r="J15" s="21"/>
    </x:row>
    <x:row r="17">
      <x:c r="A17" s="82" t="str">
        <x:v>评分汇总</x:v>
      </x:c>
      <x:c r="B17" s="82"/>
      <x:c r="C17" s="82"/>
      <x:c r="D17" s="82"/>
      <x:c r="E17" s="82"/>
      <x:c r="F17" s="82"/>
      <x:c r="G17" s="82"/>
      <x:c r="H17" s="82"/>
      <x:c r="I17" s="82"/>
      <x:c r="J17" s="82"/>
    </x:row>
    <x:row r="18" ht="32" customHeight="1">
      <x:c r="A18" s="84" t="str">
        <x:v>加权总分（满分100）</x:v>
      </x:c>
      <x:c r="B18" s="84"/>
      <x:c r="C18" s="84"/>
      <x:c r="D18" s="84"/>
      <x:c r="E18" s="87" t="str">
        <x:f>IF(COUNT(E6:E15)=0,"",ROUND(SUMPRODUCT($B$6:$B$15,E6:E15)/5,0))</x:f>
      </x:c>
      <x:c r="F18" s="87"/>
      <x:c r="G18" s="87" t="str">
        <x:f>IF(COUNT(G6:G15)=0,"",ROUND(SUMPRODUCT($B$6:$B$15,G6:G15)/5,0))</x:f>
      </x:c>
      <x:c r="H18" s="87"/>
      <x:c r="I18" s="87" t="str">
        <x:f>IF(COUNT(I6:I15)=0,"",ROUND(SUMPRODUCT($B$6:$B$15,I6:I15)/5,0))</x:f>
      </x:c>
      <x:c r="J18" s="87"/>
    </x:row>
    <x:row r="19" ht="32" customHeight="1">
      <x:c r="A19" s="84" t="str">
        <x:v>英语准入结论</x:v>
      </x:c>
      <x:c r="B19" s="84"/>
      <x:c r="C19" s="84"/>
      <x:c r="D19" s="84"/>
      <x:c r="E19" s="87" t="str">
        <x:f>IF(E18="","未测试",IF(E18&gt;=80,"通过",IF(E18&gt;=60,"复测","不通过")))</x:f>
        <x:v>未测试</x:v>
      </x:c>
      <x:c r="F19" s="87"/>
      <x:c r="G19" s="87" t="str">
        <x:f>IF(G18="","未测试",IF(G18&gt;=80,"通过",IF(G18&gt;=60,"复测","不通过")))</x:f>
        <x:v>未测试</x:v>
      </x:c>
      <x:c r="H19" s="87"/>
      <x:c r="I19" s="87" t="str">
        <x:f>IF(I18="","未测试",IF(I18&gt;=80,"通过",IF(I18&gt;=60,"复测","不通过")))</x:f>
        <x:v>未测试</x:v>
      </x:c>
      <x:c r="J19" s="87"/>
    </x:row>
  </x:sheetData>
  <x:mergeCells>
    <x:mergeCell ref="A1:J1"/>
    <x:mergeCell ref="A2:J2"/>
    <x:mergeCell ref="A17:J17"/>
    <x:mergeCell ref="A18:D18"/>
    <x:mergeCell ref="A19:D19"/>
    <x:mergeCell ref="E18:F18"/>
    <x:mergeCell ref="G18:H18"/>
    <x:mergeCell ref="I18:J18"/>
    <x:mergeCell ref="E19:F19"/>
    <x:mergeCell ref="G19:H19"/>
    <x:mergeCell ref="I19:J19"/>
  </x:mergeCells>
  <x:conditionalFormatting sqref="E19:J19">
    <x:cfRule type="containsText" dxfId="14" priority="1" operator="containsText" text="通过"/>
    <x:cfRule type="containsText" dxfId="15" priority="2" operator="containsText" text="不通过"/>
  </x:conditionalFormatting>
  <x:dataValidations count="3">
    <x:dataValidation type="whole" operator="between" sqref="E6:E15">
      <x:formula1>0</x:formula1>
      <x:formula2>5</x:formula2>
    </x:dataValidation>
    <x:dataValidation type="whole" operator="between" sqref="G6:G15">
      <x:formula1>0</x:formula1>
      <x:formula2>5</x:formula2>
    </x:dataValidation>
    <x:dataValidation type="whole" operator="between" sqref="I6:I15">
      <x:formula1>0</x:formula1>
      <x:formula2>5</x:formula2>
    </x:dataValidation>
  </x:dataValidations>
  <x:pageMargins left="0.7" right="0.7" top="0.75" bottom="0.75" header="0.3" footer="0.3"/>
  <x:tableParts count="1">
    <x:tablePart xmlns:r="http://schemas.openxmlformats.org/officeDocument/2006/relationships" r:id="R2e3f8ffd8ef047cf"/>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28" hidden="0" customWidth="1"/>
    <x:col min="4" max="4" width="11" hidden="0" customWidth="1"/>
    <x:col min="5" max="5" width="25" hidden="0" customWidth="1"/>
    <x:col min="6" max="6" width="18" hidden="0" customWidth="1"/>
    <x:col min="7" max="7" width="46" hidden="0" customWidth="1"/>
    <x:col min="8" max="8" width="43" hidden="0" customWidth="1"/>
    <x:col min="9" max="9" width="13" hidden="0" customWidth="1"/>
  </x:cols>
  <x:sheetData>
    <x:row r="1" ht="32" customHeight="1">
      <x:c r="A1" s="3" t="str">
        <x:v>来源台账｜每条来源只证明它能证明的内容</x:v>
      </x:c>
      <x:c r="B1" s="3"/>
      <x:c r="C1" s="3"/>
      <x:c r="D1" s="3"/>
      <x:c r="E1" s="3"/>
      <x:c r="F1" s="3"/>
      <x:c r="G1" s="3"/>
      <x:c r="H1" s="3"/>
      <x:c r="I1" s="3"/>
    </x:row>
    <x:row r="2" ht="30" customHeight="1">
      <x:c r="A2" s="7" t="str">
        <x:v>S1确认事实和运营，S2提供解释框架，S3识别外国游客需求和摩擦。动态信息发布前仍需再次复核。</x:v>
      </x:c>
      <x:c r="B2" s="7"/>
      <x:c r="C2" s="7"/>
      <x:c r="D2" s="7"/>
      <x:c r="E2" s="7"/>
      <x:c r="F2" s="7"/>
      <x:c r="G2" s="7"/>
      <x:c r="H2" s="7"/>
      <x:c r="I2" s="7"/>
    </x:row>
    <x:row r="5" ht="34" customHeight="1">
      <x:c r="A5" s="11" t="str">
        <x:v>来源ID</x:v>
      </x:c>
      <x:c r="B5" s="11" t="str">
        <x:v>来源名称</x:v>
      </x:c>
      <x:c r="C5" s="11" t="str">
        <x:v>来源/机构</x:v>
      </x:c>
      <x:c r="D5" s="11" t="str">
        <x:v>层级</x:v>
      </x:c>
      <x:c r="E5" s="11" t="str">
        <x:v>主要用途</x:v>
      </x:c>
      <x:c r="F5" s="11" t="str">
        <x:v>发布日期/状态</x:v>
      </x:c>
      <x:c r="G5" s="11" t="str">
        <x:v>核心信息</x:v>
      </x:c>
      <x:c r="H5" s="11" t="str">
        <x:v>URL</x:v>
      </x:c>
      <x:c r="I5" s="11" t="str">
        <x:v>广告风险</x:v>
      </x:c>
    </x:row>
    <x:row r="6" ht="53" customHeight="1">
      <x:c r="A6" s="19" t="str">
        <x:v>SRC001</x:v>
      </x:c>
      <x:c r="B6" s="19" t="str">
        <x:v>2025巴蜀文化旅游走廊精品线路</x:v>
      </x:c>
      <x:c r="C6" s="19" t="str">
        <x:v>重庆市政府/市文旅委</x:v>
      </x:c>
      <x:c r="D6" s="19" t="str">
        <x:v>S1</x:v>
      </x:c>
      <x:c r="E6" s="19" t="str">
        <x:v>官方主城线路骨架</x:v>
      </x:c>
      <x:c r="F6" s="19" t="str">
        <x:v>2025-11</x:v>
      </x:c>
      <x:c r="G6" s="19" t="str">
        <x:v>母城记忆、两江四岸、黄葛古道等官方线路节点</x:v>
      </x:c>
      <x:c r="H6" s="19" t="str">
        <x:v>https://www.cq.gov.cn/zwgk/zfxxgkml/zdlyxxgk/ggwh/ly/zxdt/202511/t20251107_15146900.html</x:v>
      </x:c>
      <x:c r="I6" s="19" t="str">
        <x:v>低</x:v>
      </x:c>
    </x:row>
    <x:row r="7" ht="53" customHeight="1">
      <x:c r="A7" s="20" t="str">
        <x:v>SRC002</x:v>
      </x:c>
      <x:c r="B7" s="20" t="str">
        <x:v>2025年度重庆市博物馆名录</x:v>
      </x:c>
      <x:c r="C7" s="20" t="str">
        <x:v>重庆市文物局</x:v>
      </x:c>
      <x:c r="D7" s="20" t="str">
        <x:v>S1</x:v>
      </x:c>
      <x:c r="E7" s="20" t="str">
        <x:v>开放、地址、电话、交通</x:v>
      </x:c>
      <x:c r="F7" s="20" t="str">
        <x:v>2026-01</x:v>
      </x:c>
      <x:c r="G7" s="20" t="str">
        <x:v>152家备案博物馆；主城场馆开放信息</x:v>
      </x:c>
      <x:c r="H7" s="20" t="str">
        <x:v>https://whlyw.cq.gov.cn/hdjl_221/xzzq/202601/t20260115_15320860.html</x:v>
      </x:c>
      <x:c r="I7" s="20" t="str">
        <x:v>低</x:v>
      </x:c>
    </x:row>
    <x:row r="8" ht="53" customHeight="1">
      <x:c r="A8" s="20" t="str">
        <x:v>SRC003</x:v>
      </x:c>
      <x:c r="B8" s="20" t="str">
        <x:v>湖广会馆</x:v>
      </x:c>
      <x:c r="C8" s="20" t="str">
        <x:v>重庆市文化旅游委</x:v>
      </x:c>
      <x:c r="D8" s="20" t="str">
        <x:v>S1</x:v>
      </x:c>
      <x:c r="E8" s="20" t="str">
        <x:v>建筑与移民史</x:v>
      </x:c>
      <x:c r="F8" s="20" t="str">
        <x:v>2024-05</x:v>
      </x:c>
      <x:c r="G8" s="20" t="str">
        <x:v>现存规模最大的古会馆建筑群之一；移民博物馆</x:v>
      </x:c>
      <x:c r="H8" s="20" t="str">
        <x:v>https://whlyw.cq.gov.cn/zjwl/yzq/cqwlzy/zqwwzy/202405/t20240507_13182428.html</x:v>
      </x:c>
      <x:c r="I8" s="20" t="str">
        <x:v>低</x:v>
      </x:c>
    </x:row>
    <x:row r="9" ht="53" customHeight="1">
      <x:c r="A9" s="20" t="str">
        <x:v>SRC004</x:v>
      </x:c>
      <x:c r="B9" s="20" t="str">
        <x:v>重庆古城墙</x:v>
      </x:c>
      <x:c r="C9" s="20" t="str">
        <x:v>重庆市文化旅游委</x:v>
      </x:c>
      <x:c r="D9" s="20" t="str">
        <x:v>S1</x:v>
      </x:c>
      <x:c r="E9" s="20" t="str">
        <x:v>通远门、东水门事实</x:v>
      </x:c>
      <x:c r="F9" s="20" t="str">
        <x:v>2024-05</x:v>
      </x:c>
      <x:c r="G9" s="20" t="str">
        <x:v>现存通远门段与东水门段的形制和保护价值</x:v>
      </x:c>
      <x:c r="H9" s="20" t="str">
        <x:v>https://whlyw.cq.gov.cn/zjwl/yzq/cqwlzy/zqwwzy/202405/t20240507_13182468.html</x:v>
      </x:c>
      <x:c r="I9" s="20" t="str">
        <x:v>低</x:v>
      </x:c>
    </x:row>
    <x:row r="10" ht="53" customHeight="1">
      <x:c r="A10" s="20" t="str">
        <x:v>SRC005</x:v>
      </x:c>
      <x:c r="B10" s="20" t="str">
        <x:v>通远门古城墙步道</x:v>
      </x:c>
      <x:c r="C10" s="20" t="str">
        <x:v>渝中区政府</x:v>
      </x:c>
      <x:c r="D10" s="20" t="str">
        <x:v>S1</x:v>
      </x:c>
      <x:c r="E10" s="20" t="str">
        <x:v>九开八闭与陆路入口</x:v>
      </x:c>
      <x:c r="F10" s="20" t="str">
        <x:v>2026-04</x:v>
      </x:c>
      <x:c r="G10" s="20" t="str">
        <x:v>十七城门；通远门为唯一不面水的开门</x:v>
      </x:c>
      <x:c r="H10" s="20" t="str">
        <x:v>https://www.cqyz.gov.cn/zjyz/lyyz/rmdkd/202202/t20220215_10397616.html</x:v>
      </x:c>
      <x:c r="I10" s="20" t="str">
        <x:v>低</x:v>
      </x:c>
    </x:row>
    <x:row r="11" ht="53" customHeight="1">
      <x:c r="A11" s="20" t="str">
        <x:v>SRC006</x:v>
      </x:c>
      <x:c r="B11" s="20" t="str">
        <x:v>中山四路</x:v>
      </x:c>
      <x:c r="C11" s="20" t="str">
        <x:v>渝中区政府</x:v>
      </x:c>
      <x:c r="D11" s="20" t="str">
        <x:v>S1</x:v>
      </x:c>
      <x:c r="E11" s="20" t="str">
        <x:v>抗战陪都与街区史</x:v>
      </x:c>
      <x:c r="F11" s="20" t="str">
        <x:v>2026-04</x:v>
      </x:c>
      <x:c r="G11" s="20" t="str">
        <x:v>桂园、周公馆、特园等历史遗迹集中</x:v>
      </x:c>
      <x:c r="H11" s="20" t="str">
        <x:v>https://www.cqyz.gov.cn/zjyz/lyyz/rmdkd/202210/t20221005_11164444.html</x:v>
      </x:c>
      <x:c r="I11" s="20" t="str">
        <x:v>低</x:v>
      </x:c>
    </x:row>
    <x:row r="12" ht="53" customHeight="1">
      <x:c r="A12" s="20" t="str">
        <x:v>SRC007</x:v>
      </x:c>
      <x:c r="B12" s="20" t="str">
        <x:v>桂园（张治中公馆旧址）</x:v>
      </x:c>
      <x:c r="C12" s="20" t="str">
        <x:v>渝中区政府</x:v>
      </x:c>
      <x:c r="D12" s="20" t="str">
        <x:v>S1</x:v>
      </x:c>
      <x:c r="E12" s="20" t="str">
        <x:v>重庆谈判</x:v>
      </x:c>
      <x:c r="F12" s="20" t="str">
        <x:v>2026-06</x:v>
      </x:c>
      <x:c r="G12" s="20" t="str">
        <x:v>《双十协定》签字地等历史事实</x:v>
      </x:c>
      <x:c r="H12" s="20" t="str">
        <x:v>https://www.cqyz.gov.cn/zjyz/lyyz/lswh/lsww/202306/t20230625_12089545.html</x:v>
      </x:c>
      <x:c r="I12" s="20" t="str">
        <x:v>低</x:v>
      </x:c>
    </x:row>
    <x:row r="13" ht="53" customHeight="1">
      <x:c r="A13" s="20" t="str">
        <x:v>SRC008</x:v>
      </x:c>
      <x:c r="B13" s="20" t="str">
        <x:v>中共中央南方局旧址（周公馆）</x:v>
      </x:c>
      <x:c r="C13" s="20" t="str">
        <x:v>渝中区政府</x:v>
      </x:c>
      <x:c r="D13" s="20" t="str">
        <x:v>S1</x:v>
      </x:c>
      <x:c r="E13" s="20" t="str">
        <x:v>抗战统一战线</x:v>
      </x:c>
      <x:c r="F13" s="20" t="str">
        <x:v>2026-06</x:v>
      </x:c>
      <x:c r="G13" s="20" t="str">
        <x:v>周公馆的办公、外交与宣传功能</x:v>
      </x:c>
      <x:c r="H13" s="20" t="str">
        <x:v>https://www.cqyz.gov.cn/zjyz/lyyz/lswh/lsww/202210/t20221008_11166811.html</x:v>
      </x:c>
      <x:c r="I13" s="20" t="str">
        <x:v>低</x:v>
      </x:c>
    </x:row>
    <x:row r="14" ht="53" customHeight="1">
      <x:c r="A14" s="20" t="str">
        <x:v>SRC009</x:v>
      </x:c>
      <x:c r="B14" s="20" t="str">
        <x:v>重庆史迪威博物馆名录信息</x:v>
      </x:c>
      <x:c r="C14" s="20" t="str">
        <x:v>重庆市文物局</x:v>
      </x:c>
      <x:c r="D14" s="20" t="str">
        <x:v>S1</x:v>
      </x:c>
      <x:c r="E14" s="20" t="str">
        <x:v>开放、地址、电话</x:v>
      </x:c>
      <x:c r="F14" s="20" t="str">
        <x:v>2025-12</x:v>
      </x:c>
      <x:c r="G14" s="20" t="str">
        <x:v>渝中区嘉陵新路63号；9:00—17:00</x:v>
      </x:c>
      <x:c r="H14" s="20" t="str">
        <x:v>https://whlyw.cq.gov.cn/hdjl_221/xzzq/202601/t20260115_15320860.html</x:v>
      </x:c>
      <x:c r="I14" s="20" t="str">
        <x:v>低</x:v>
      </x:c>
    </x:row>
    <x:row r="15" ht="53" customHeight="1">
      <x:c r="A15" s="20" t="str">
        <x:v>SRC010</x:v>
      </x:c>
      <x:c r="B15" s="20" t="str">
        <x:v>三峡博物馆入馆规则</x:v>
      </x:c>
      <x:c r="C15" s="20" t="str">
        <x:v>重庆中国三峡博物馆</x:v>
      </x:c>
      <x:c r="D15" s="20" t="str">
        <x:v>S1</x:v>
      </x:c>
      <x:c r="E15" s="20" t="str">
        <x:v>证件与预约</x:v>
      </x:c>
      <x:c r="F15" s="20" t="str">
        <x:v>持续更新</x:v>
      </x:c>
      <x:c r="G15" s="20" t="str">
        <x:v>主馆自2025-10起凭有效证件免预约入馆</x:v>
      </x:c>
      <x:c r="H15" s="20" t="str">
        <x:v>https://www.3gmuseum.cn/web/article/1430010139317059584/web/content_1430010139317059584.html</x:v>
      </x:c>
      <x:c r="I15" s="20" t="str">
        <x:v>低</x:v>
      </x:c>
    </x:row>
    <x:row r="16" ht="53" customHeight="1">
      <x:c r="A16" s="20" t="str">
        <x:v>SRC011</x:v>
      </x:c>
      <x:c r="B16" s="20" t="str">
        <x:v>慈云寺—米市街—龙门浩历史文化街区</x:v>
      </x:c>
      <x:c r="C16" s="20" t="str">
        <x:v>重庆市政府</x:v>
      </x:c>
      <x:c r="D16" s="20" t="str">
        <x:v>S1</x:v>
      </x:c>
      <x:c r="E16" s="20" t="str">
        <x:v>开埠、工商业与街区保护</x:v>
      </x:c>
      <x:c r="F16" s="20" t="str">
        <x:v>2025-11</x:v>
      </x:c>
      <x:c r="G16" s="20" t="str">
        <x:v>近现代工商业、抗战与宗教遗存</x:v>
      </x:c>
      <x:c r="H16" s="20" t="str">
        <x:v>https://www.cq.gov.cn/ywdt/zwhd/bmdt/202511/t20251113_15160016.html</x:v>
      </x:c>
      <x:c r="I16" s="20" t="str">
        <x:v>低</x:v>
      </x:c>
    </x:row>
    <x:row r="17" ht="53" customHeight="1">
      <x:c r="A17" s="20" t="str">
        <x:v>SRC012</x:v>
      </x:c>
      <x:c r="B17" s="20" t="str">
        <x:v>重庆城市更新催生文旅场景</x:v>
      </x:c>
      <x:c r="C17" s="20" t="str">
        <x:v>重庆市政府</x:v>
      </x:c>
      <x:c r="D17" s="20" t="str">
        <x:v>S1</x:v>
      </x:c>
      <x:c r="E17" s="20" t="str">
        <x:v>开埠遗址公园、下浩里</x:v>
      </x:c>
      <x:c r="F17" s="20" t="str">
        <x:v>2026-05</x:v>
      </x:c>
      <x:c r="G17" s="20" t="str">
        <x:v>开埠遗址公园和南滨路沿线更新现状</x:v>
      </x:c>
      <x:c r="H17" s="20" t="str">
        <x:v>https://www.cq.gov.cn/ywdt/jrcq/202605/t20260506_15650945.html</x:v>
      </x:c>
      <x:c r="I17" s="20" t="str">
        <x:v>低</x:v>
      </x:c>
    </x:row>
    <x:row r="18" ht="53" customHeight="1">
      <x:c r="A18" s="20" t="str">
        <x:v>SRC013</x:v>
      </x:c>
      <x:c r="B18" s="20" t="str">
        <x:v>李子坝站更新改造</x:v>
      </x:c>
      <x:c r="C18" s="20" t="str">
        <x:v>重庆市政府/轨道运营</x:v>
      </x:c>
      <x:c r="D18" s="20" t="str">
        <x:v>S1</x:v>
      </x:c>
      <x:c r="E18" s="20" t="str">
        <x:v>施工与动线风险</x:v>
      </x:c>
      <x:c r="F18" s="20" t="str">
        <x:v>2026-06</x:v>
      </x:c>
      <x:c r="G18" s="20" t="str">
        <x:v>分区封闭施工；预计2026-12-30完工</x:v>
      </x:c>
      <x:c r="H18" s="20" t="str">
        <x:v>https://www.cq.gov.cn/ywdt/jrcq/202606/t20260613_15751500.html</x:v>
      </x:c>
      <x:c r="I18" s="20" t="str">
        <x:v>低</x:v>
      </x:c>
    </x:row>
    <x:row r="19" ht="53" customHeight="1">
      <x:c r="A19" s="20" t="str">
        <x:v>SRC014</x:v>
      </x:c>
      <x:c r="B19" s="20" t="str">
        <x:v>轨道2号线电梯焕新</x:v>
      </x:c>
      <x:c r="C19" s="20" t="str">
        <x:v>重庆市政府</x:v>
      </x:c>
      <x:c r="D19" s="20" t="str">
        <x:v>S1</x:v>
      </x:c>
      <x:c r="E19" s="20" t="str">
        <x:v>垂直交通与运能</x:v>
      </x:c>
      <x:c r="F19" s="20" t="str">
        <x:v>2026-05</x:v>
      </x:c>
      <x:c r="G19" s="20" t="str">
        <x:v>李子坝站垂直动线、客流与扶梯改造</x:v>
      </x:c>
      <x:c r="H19" s="20" t="str">
        <x:v>https://www.cq.gov.cn/ywdt/jrcq/202605/t20260528_15709853.html</x:v>
      </x:c>
      <x:c r="I19" s="20" t="str">
        <x:v>低</x:v>
      </x:c>
    </x:row>
    <x:row r="20" ht="53" customHeight="1">
      <x:c r="A20" s="20" t="str">
        <x:v>SRC015</x:v>
      </x:c>
      <x:c r="B20" s="20" t="str">
        <x:v>Urban Verticality Shaped by a Vertical Terrain</x:v>
      </x:c>
      <x:c r="C20" s="20" t="str">
        <x:v>Urban Planning / DOAJ</x:v>
      </x:c>
      <x:c r="D20" s="20" t="str">
        <x:v>S2</x:v>
      </x:c>
      <x:c r="E20" s="20" t="str">
        <x:v>立体城市解释框架</x:v>
      </x:c>
      <x:c r="F20" s="20" t="str">
        <x:v>2022</x:v>
      </x:c>
      <x:c r="G20" s="20" t="str">
        <x:v>地形塑造规划、治理和日常经验，不只等于高楼</x:v>
      </x:c>
      <x:c r="H20" s="20" t="str">
        <x:v>https://doi.org/10.17645/up.v7i4.5810</x:v>
      </x:c>
      <x:c r="I20" s="20" t="str">
        <x:v>低</x:v>
      </x:c>
    </x:row>
    <x:row r="21" ht="53" customHeight="1">
      <x:c r="A21" s="20" t="str">
        <x:v>SRC016</x:v>
      </x:c>
      <x:c r="B21" s="20" t="str">
        <x:v>Towards Weird Verticality</x:v>
      </x:c>
      <x:c r="C21" s="20" t="str">
        <x:v>Urban Studies / University of Leeds</x:v>
      </x:c>
      <x:c r="D21" s="20" t="str">
        <x:v>S2</x:v>
      </x:c>
      <x:c r="E21" s="20" t="str">
        <x:v>反赛博朋克叙事</x:v>
      </x:c>
      <x:c r="F21" s="20" t="str">
        <x:v>2024</x:v>
      </x:c>
      <x:c r="G21" s="20" t="str">
        <x:v>外来奇观视角可能遮蔽日常、更新与公共/私人边界</x:v>
      </x:c>
      <x:c r="H21" s="20" t="str">
        <x:v>https://eprints.whiterose.ac.uk/id/eprint/185301/</x:v>
      </x:c>
      <x:c r="I21" s="20" t="str">
        <x:v>低</x:v>
      </x:c>
    </x:row>
    <x:row r="22" ht="53" customHeight="1">
      <x:c r="A22" s="20" t="str">
        <x:v>SRC017</x:v>
      </x:c>
      <x:c r="B22" s="20" t="str">
        <x:v>重庆山城步道适老性研究</x:v>
      </x:c>
      <x:c r="C22" s="20" t="str">
        <x:v>上海城市规划</x:v>
      </x:c>
      <x:c r="D22" s="20" t="str">
        <x:v>S2</x:v>
      </x:c>
      <x:c r="E22" s="20" t="str">
        <x:v>坡度、路径与适老设计</x:v>
      </x:c>
      <x:c r="F22" s="20" t="str">
        <x:v>2020</x:v>
      </x:c>
      <x:c r="G22" s="20" t="str">
        <x:v>步道是交通、商业、休闲与社会交往的复合容器</x:v>
      </x:c>
      <x:c r="H22" s="20" t="str">
        <x:v>https://www.shplanning.com.cn/archive/download/id/487.html</x:v>
      </x:c>
      <x:c r="I22" s="20" t="str">
        <x:v>低</x:v>
      </x:c>
    </x:row>
    <x:row r="23" ht="53" customHeight="1">
      <x:c r="A23" s="20" t="str">
        <x:v>SRC018</x:v>
      </x:c>
      <x:c r="B23" s="20" t="str">
        <x:v>重庆市历史文化名城保护规划</x:v>
      </x:c>
      <x:c r="C23" s="20" t="str">
        <x:v>重庆市规划自然资源局</x:v>
      </x:c>
      <x:c r="D23" s="20" t="str">
        <x:v>S1</x:v>
      </x:c>
      <x:c r="E23" s="20" t="str">
        <x:v>历史城区与保护框架</x:v>
      </x:c>
      <x:c r="F23" s="20" t="str">
        <x:v>2025-07</x:v>
      </x:c>
      <x:c r="G23" s="20" t="str">
        <x:v>两江交汇历史城区、九开八闭格局与山城步道</x:v>
      </x:c>
      <x:c r="H23" s="20" t="str">
        <x:v>https://ghzrzyj.cq.gov.cn/ztlm_186/ghgb/zxgh/202507/P020250716371670706300.pdf</x:v>
      </x:c>
      <x:c r="I23" s="20" t="str">
        <x:v>低</x:v>
      </x:c>
    </x:row>
    <x:row r="24" ht="53" customHeight="1">
      <x:c r="A24" s="20" t="str">
        <x:v>SRC019</x:v>
      </x:c>
      <x:c r="B24" s="20" t="str">
        <x:v>2026无人机灯光秀安排</x:v>
      </x:c>
      <x:c r="C24" s="20" t="str">
        <x:v>重庆市政府</x:v>
      </x:c>
      <x:c r="D24" s="20" t="str">
        <x:v>S1</x:v>
      </x:c>
      <x:c r="E24" s="20" t="str">
        <x:v>时间、观赏区与管制</x:v>
      </x:c>
      <x:c r="F24" s="20" t="str">
        <x:v>2026-05</x:v>
      </x:c>
      <x:c r="G24" s="20" t="str">
        <x:v>朝天门、江北嘴、南滨路可观看；按月复核</x:v>
      </x:c>
      <x:c r="H24" s="20" t="str">
        <x:v>https://www.cq.gov.cn/ywdt/jrcq/202605/t20260531_15716501_app.html</x:v>
      </x:c>
      <x:c r="I24" s="20" t="str">
        <x:v>低</x:v>
      </x:c>
    </x:row>
    <x:row r="25" ht="53" customHeight="1">
      <x:c r="A25" s="20" t="str">
        <x:v>SRC020</x:v>
      </x:c>
      <x:c r="B25" s="20" t="str">
        <x:v>重庆火锅</x:v>
      </x:c>
      <x:c r="C25" s="20" t="str">
        <x:v>重庆市文化旅游委</x:v>
      </x:c>
      <x:c r="D25" s="20" t="str">
        <x:v>S1</x:v>
      </x:c>
      <x:c r="E25" s="20" t="str">
        <x:v>食物文化基础</x:v>
      </x:c>
      <x:c r="F25" s="20" t="str">
        <x:v>2024-11</x:v>
      </x:c>
      <x:c r="G25" s="20" t="str">
        <x:v>火锅的味型、共享性与城市文化符号</x:v>
      </x:c>
      <x:c r="H25" s="20" t="str">
        <x:v>https://whlyw.cq.gov.cn/zjwl/szq/zqms/202411/t20241111_13787035.html</x:v>
      </x:c>
      <x:c r="I25" s="20" t="str">
        <x:v>低</x:v>
      </x:c>
    </x:row>
    <x:row r="26" ht="53" customHeight="1">
      <x:c r="A26" s="20" t="str">
        <x:v>SRC021</x:v>
      </x:c>
      <x:c r="B26" s="20" t="str">
        <x:v>重庆第七批市级非遗名录</x:v>
      </x:c>
      <x:c r="C26" s="20" t="str">
        <x:v>重庆市政府/文旅委</x:v>
      </x:c>
      <x:c r="D26" s="20" t="str">
        <x:v>S1</x:v>
      </x:c>
      <x:c r="E26" s="20" t="str">
        <x:v>火锅及相关习俗</x:v>
      </x:c>
      <x:c r="F26" s="20" t="str">
        <x:v>2026-07</x:v>
      </x:c>
      <x:c r="G26" s="20" t="str">
        <x:v>重庆火锅传统制作技艺及相关习俗入选市级非遗</x:v>
      </x:c>
      <x:c r="H26" s="20" t="str">
        <x:v>https://whlyw.cq.gov.cn/zwgk_221/zfgkzcwj/qtwj/202607/t20260709_15810099.html</x:v>
      </x:c>
      <x:c r="I26" s="20" t="str">
        <x:v>低</x:v>
      </x:c>
    </x:row>
    <x:row r="27" ht="53" customHeight="1">
      <x:c r="A27" s="20" t="str">
        <x:v>SRC022</x:v>
      </x:c>
      <x:c r="B27" s="20" t="str">
        <x:v>黄桷坪地名与交通茶馆</x:v>
      </x:c>
      <x:c r="C27" s="20" t="str">
        <x:v>重庆市民政局</x:v>
      </x:c>
      <x:c r="D27" s="20" t="str">
        <x:v>S1</x:v>
      </x:c>
      <x:c r="E27" s="20" t="str">
        <x:v>艺术社区与茶馆</x:v>
      </x:c>
      <x:c r="F27" s="20" t="str">
        <x:v>2025-01</x:v>
      </x:c>
      <x:c r="G27" s="20" t="str">
        <x:v>黄桷坪、川美、涂鸦和交通茶馆的地方脉络</x:v>
      </x:c>
      <x:c r="H27" s="20" t="str">
        <x:v>https://mzj.cq.gov.cn/sy_218/bmdt/mzyw/t_14233171.html</x:v>
      </x:c>
      <x:c r="I27" s="20" t="str">
        <x:v>低</x:v>
      </x:c>
    </x:row>
    <x:row r="28" ht="53" customHeight="1">
      <x:c r="A28" s="20" t="str">
        <x:v>SRC023</x:v>
      </x:c>
      <x:c r="B28" s="20" t="str">
        <x:v>中心城区旅游休闲街区地图</x:v>
      </x:c>
      <x:c r="C28" s="20" t="str">
        <x:v>重庆市规划自然资源局</x:v>
      </x:c>
      <x:c r="D28" s="20" t="str">
        <x:v>S1</x:v>
      </x:c>
      <x:c r="E28" s="20" t="str">
        <x:v>街区边界与更新类型</x:v>
      </x:c>
      <x:c r="F28" s="20" t="str">
        <x:v>2025-11</x:v>
      </x:c>
      <x:c r="G28" s="20" t="str">
        <x:v>山城巷、十八梯、龙门浩、黄桷坪等空间关系</x:v>
      </x:c>
      <x:c r="H28" s="20" t="str">
        <x:v>https://ghzrzyj.cq.gov.cn/bsfw_186/dtfw/mzyt/202511/t20251124_15184222_wap.html</x:v>
      </x:c>
      <x:c r="I28" s="20" t="str">
        <x:v>低</x:v>
      </x:c>
    </x:row>
    <x:row r="29" ht="53" customHeight="1">
      <x:c r="A29" s="20" t="str">
        <x:v>SRC024</x:v>
      </x:c>
      <x:c r="B29" s="20" t="str">
        <x:v>皇冠大扶梯与索道节假日运营提示</x:v>
      </x:c>
      <x:c r="C29" s="20" t="str">
        <x:v>重庆市政府</x:v>
      </x:c>
      <x:c r="D29" s="20" t="str">
        <x:v>S1</x:v>
      </x:c>
      <x:c r="E29" s="20" t="str">
        <x:v>运营时段与安全</x:v>
      </x:c>
      <x:c r="F29" s="20" t="str">
        <x:v>2025-05</x:v>
      </x:c>
      <x:c r="G29" s="20" t="str">
        <x:v>皇冠大扶梯常态参考时段；索道须以当日公告为准</x:v>
      </x:c>
      <x:c r="H29" s="20" t="str">
        <x:v>https://cq.gov.cn/ywdt/bmts/202505/t20250529_14669045.html</x:v>
      </x:c>
      <x:c r="I29" s="20" t="str">
        <x:v>低</x:v>
      </x:c>
    </x:row>
    <x:row r="30" ht="53" customHeight="1">
      <x:c r="A30" s="20" t="str">
        <x:v>SRC025</x:v>
      </x:c>
      <x:c r="B30" s="20" t="str">
        <x:v>长江索道官方页</x:v>
      </x:c>
      <x:c r="C30" s="20" t="str">
        <x:v>重庆索道运营方</x:v>
      </x:c>
      <x:c r="D30" s="20" t="str">
        <x:v>S1</x:v>
      </x:c>
      <x:c r="E30" s="20" t="str">
        <x:v>票务与运营</x:v>
      </x:c>
      <x:c r="F30" s="20" t="str">
        <x:v>持续更新</x:v>
      </x:c>
      <x:c r="G30" s="20" t="str">
        <x:v>当日运营、停运、排队与票务入口</x:v>
      </x:c>
      <x:c r="H30" s="20" t="str">
        <x:v>https://www.cqsuodao.com/zhangjiangsuodao.html</x:v>
      </x:c>
      <x:c r="I30" s="20" t="str">
        <x:v>低</x:v>
      </x:c>
    </x:row>
    <x:row r="31" ht="53" customHeight="1">
      <x:c r="A31" s="20" t="str">
        <x:v>SRC026</x:v>
      </x:c>
      <x:c r="B31" s="20" t="str">
        <x:v>2026年两江游数据</x:v>
      </x:c>
      <x:c r="C31" s="20" t="str">
        <x:v>重庆市政府</x:v>
      </x:c>
      <x:c r="D31" s="20" t="str">
        <x:v>S1</x:v>
      </x:c>
      <x:c r="E31" s="20" t="str">
        <x:v>市场与运营背景</x:v>
      </x:c>
      <x:c r="F31" s="20" t="str">
        <x:v>2026-03</x:v>
      </x:c>
      <x:c r="G31" s="20" t="str">
        <x:v>2026年1—2月两江游接待74.1万人次</x:v>
      </x:c>
      <x:c r="H31" s="20" t="str">
        <x:v>https://cq.gov.cn/zwgk/zfxxgkml/zdlyxxgk/ggwh/ly/zxdt/202603/t20260304_15487802.html</x:v>
      </x:c>
      <x:c r="I31" s="20" t="str">
        <x:v>低</x:v>
      </x:c>
    </x:row>
    <x:row r="32" ht="53" customHeight="1">
      <x:c r="A32" s="20" t="str">
        <x:v>SRC027</x:v>
      </x:c>
      <x:c r="B32" s="20" t="str">
        <x:v>Reddit：重庆4晚只游主城</x:v>
      </x:c>
      <x:c r="C32" s="20" t="str">
        <x:v>海外游客游记</x:v>
      </x:c>
      <x:c r="D32" s="20" t="str">
        <x:v>S3</x:v>
      </x:c>
      <x:c r="E32" s="20" t="str">
        <x:v>停留行为与取舍</x:v>
      </x:c>
      <x:c r="F32" s="20" t="str">
        <x:v>2025-10</x:v>
      </x:c>
      <x:c r="G32" s="20" t="str">
        <x:v>4晚仍只游主城，说明主城内容容量足</x:v>
      </x:c>
      <x:c r="H32" s="20" t="str">
        <x:v>https://www.reddit.com/r/travelchina/comments/1o74mfa/trip_report_for_chongqing_4_night_stay/</x:v>
      </x:c>
      <x:c r="I32" s="20" t="str">
        <x:v>中</x:v>
      </x:c>
    </x:row>
    <x:row r="33" ht="53" customHeight="1">
      <x:c r="A33" s="20" t="str">
        <x:v>SRC028</x:v>
      </x:c>
      <x:c r="B33" s="20" t="str">
        <x:v>Reddit：重庆行程是否过满</x:v>
      </x:c>
      <x:c r="C33" s="20" t="str">
        <x:v>海外游客讨论</x:v>
      </x:c>
      <x:c r="D33" s="20" t="str">
        <x:v>S3</x:v>
      </x:c>
      <x:c r="E33" s="20" t="str">
        <x:v>坡度、转场与重复点</x:v>
      </x:c>
      <x:c r="F33" s="20" t="str">
        <x:v>2026-07</x:v>
      </x:c>
      <x:c r="G33" s="20" t="str">
        <x:v>通用AI容易低估高差、排队和跨区成本</x:v>
      </x:c>
      <x:c r="H33" s="20" t="str">
        <x:v>https://www.reddit.com/r/travelchina/comments/1v4olqp/thoughts_on_my_chongqing_itinerary/</x:v>
      </x:c>
      <x:c r="I33" s="20" t="str">
        <x:v>中</x:v>
      </x:c>
    </x:row>
    <x:row r="34" ht="53" customHeight="1">
      <x:c r="A34" s="20" t="str">
        <x:v>SRC029</x:v>
      </x:c>
      <x:c r="B34" s="20" t="str">
        <x:v>Reddit：重庆2.5天行程</x:v>
      </x:c>
      <x:c r="C34" s="20" t="str">
        <x:v>海外游客讨论</x:v>
      </x:c>
      <x:c r="D34" s="20" t="str">
        <x:v>S3</x:v>
      </x:c>
      <x:c r="E34" s="20" t="str">
        <x:v>首次游客真实选点</x:v>
      </x:c>
      <x:c r="F34" s="20" t="str">
        <x:v>2026-02</x:v>
      </x:c>
      <x:c r="G34" s="20" t="str">
        <x:v>主城地标、步行、老街与夜景的组合</x:v>
      </x:c>
      <x:c r="H34" s="20" t="str">
        <x:v>https://www.reddit.com/r/travelchina/comments/1qvjkgb/chongqing_25_days_itinerary/</x:v>
      </x:c>
      <x:c r="I34" s="20" t="str">
        <x:v>中</x:v>
      </x:c>
    </x:row>
    <x:row r="35" ht="53" customHeight="1">
      <x:c r="A35" s="20" t="str">
        <x:v>SRC030</x:v>
      </x:c>
      <x:c r="B35" s="20" t="str">
        <x:v>Reddit：AI生成重庆地图出错</x:v>
      </x:c>
      <x:c r="C35" s="20" t="str">
        <x:v>海外游客讨论</x:v>
      </x:c>
      <x:c r="D35" s="20" t="str">
        <x:v>S3</x:v>
      </x:c>
      <x:c r="E35" s="20" t="str">
        <x:v>导航与地图风险</x:v>
      </x:c>
      <x:c r="F35" s="20" t="str">
        <x:v>2026-05</x:v>
      </x:c>
      <x:c r="G35" s="20" t="str">
        <x:v>河流、地点和高差错误；Google地图在中国可能不准</x:v>
      </x:c>
      <x:c r="H35" s="20" t="str">
        <x:v>https://www.reddit.com/r/travelchina/comments/1t4cdvm/help_planning_chongqing/</x:v>
      </x:c>
      <x:c r="I35" s="20" t="str">
        <x:v>中</x:v>
      </x:c>
    </x:row>
    <x:row r="36" ht="53" customHeight="1">
      <x:c r="A36" s="20" t="str">
        <x:v>SRC031</x:v>
      </x:c>
      <x:c r="B36" s="20" t="str">
        <x:v>渝中入境游提质升级</x:v>
      </x:c>
      <x:c r="C36" s="20" t="str">
        <x:v>渝中区文化旅游委</x:v>
      </x:c>
      <x:c r="D36" s="20" t="str">
        <x:v>S1</x:v>
      </x:c>
      <x:c r="E36" s="20" t="str">
        <x:v>多语种服务现状</x:v>
      </x:c>
      <x:c r="F36" s="20" t="str">
        <x:v>2026-06</x:v>
      </x:c>
      <x:c r="G36" s="20" t="str">
        <x:v>多语种服务站、志愿者和护照预约覆盖</x:v>
      </x:c>
      <x:c r="H36" s="20" t="str">
        <x:v>https://www.cqyz.gov.cn/bm_229/qwhlyw/zwxx_97154/dt/202606/t20260605_15733979.html</x:v>
      </x:c>
      <x:c r="I36" s="20" t="str">
        <x:v>低</x:v>
      </x:c>
    </x:row>
    <x:row r="37" ht="53" customHeight="1">
      <x:c r="A37" s="20" t="str">
        <x:v>SRC032</x:v>
      </x:c>
      <x:c r="B37" s="20" t="str">
        <x:v>重庆大轰炸遗址陈列馆名录</x:v>
      </x:c>
      <x:c r="C37" s="20" t="str">
        <x:v>重庆市文物局</x:v>
      </x:c>
      <x:c r="D37" s="20" t="str">
        <x:v>S1</x:v>
      </x:c>
      <x:c r="E37" s="20" t="str">
        <x:v>开放与地址</x:v>
      </x:c>
      <x:c r="F37" s="20" t="str">
        <x:v>2025-12</x:v>
      </x:c>
      <x:c r="G37" s="20" t="str">
        <x:v>较场口磁器街；10:00—17:30</x:v>
      </x:c>
      <x:c r="H37" s="20" t="str">
        <x:v>https://whlyw.cq.gov.cn/zwxx_221/bmdt/tzgg/202601/t20260115_15320690.html</x:v>
      </x:c>
      <x:c r="I37" s="20" t="str">
        <x:v>低</x:v>
      </x:c>
    </x:row>
    <x:row r="38" ht="53" customHeight="1">
      <x:c r="A38" s="20" t="str">
        <x:v>SRC033</x:v>
      </x:c>
      <x:c r="B38" s="20" t="str">
        <x:v>重庆母城历史文脉</x:v>
      </x:c>
      <x:c r="C38" s="20" t="str">
        <x:v>重庆市政府</x:v>
      </x:c>
      <x:c r="D38" s="20" t="str">
        <x:v>S1</x:v>
      </x:c>
      <x:c r="E38" s="20" t="str">
        <x:v>母城时间轴</x:v>
      </x:c>
      <x:c r="F38" s="20" t="str">
        <x:v>2020-09</x:v>
      </x:c>
      <x:c r="G38" s="20" t="str">
        <x:v>江州城、重庆府、抗战大后方与渝中母城</x:v>
      </x:c>
      <x:c r="H38" s="20" t="str">
        <x:v>https://www.cq.gov.cn/ywdt/zwhd/qxdt/202009/t20200907_8628081.html</x:v>
      </x:c>
      <x:c r="I38" s="20" t="str">
        <x:v>低</x:v>
      </x:c>
    </x:row>
    <x:row r="39" ht="53" customHeight="1">
      <x:c r="A39" s="20" t="str">
        <x:v>SRC034</x:v>
      </x:c>
      <x:c r="B39" s="20" t="str">
        <x:v>2025年度博物馆优秀展览</x:v>
      </x:c>
      <x:c r="C39" s="20" t="str">
        <x:v>重庆市政府</x:v>
      </x:c>
      <x:c r="D39" s="20" t="str">
        <x:v>S1</x:v>
      </x:c>
      <x:c r="E39" s="20" t="str">
        <x:v>史迪威/飞虎队展览质量</x:v>
      </x:c>
      <x:c r="F39" s="20" t="str">
        <x:v>2026-05</x:v>
      </x:c>
      <x:c r="G39" s="20" t="str">
        <x:v>史迪威博物馆飞虎队展进入优秀展览名单</x:v>
      </x:c>
      <x:c r="H39" s="20" t="str">
        <x:v>https://www.cq.gov.cn/zwgk/zfxxgkml/zdlyxxgk/ggwh/wh/zxdt/202605/t20260518_15684252.html</x:v>
      </x:c>
      <x:c r="I39" s="20" t="str">
        <x:v>低</x:v>
      </x:c>
    </x:row>
    <x:row r="40" ht="53" customHeight="1">
      <x:c r="A40" s="20" t="str">
        <x:v>SRC035</x:v>
      </x:c>
      <x:c r="B40" s="20" t="str">
        <x:v>中心城区山城步道与City Walk建设答复</x:v>
      </x:c>
      <x:c r="C40" s="20" t="str">
        <x:v>重庆市文化和旅游发展委员会</x:v>
      </x:c>
      <x:c r="D40" s="20" t="str">
        <x:v>S1</x:v>
      </x:c>
      <x:c r="E40" s="20" t="str">
        <x:v>证明山城步道被定位为串联历史遗迹、文化空间和社区服务的立体City Walk载体。</x:v>
      </x:c>
      <x:c r="F40" s="20" t="str">
        <x:v>2025-07-23</x:v>
      </x:c>
      <x:c r="G40" s="20" t="str">
        <x:v>官方提出以山城步道串联景点、历史遗迹和文化空间，建设文化体验型立体线路。</x:v>
      </x:c>
      <x:c r="H40" s="20" t="str">
        <x:v>https://whlyw.cq.gov.cn/zwgk_221/zfxxgkml/jyta/zxta/202507/t20250723_14840113.html</x:v>
      </x:c>
      <x:c r="I40" s="20" t="str">
        <x:v>低</x:v>
      </x:c>
    </x:row>
    <x:row r="41" ht="53" customHeight="1">
      <x:c r="A41" s="20" t="str">
        <x:v>SRC036</x:v>
      </x:c>
      <x:c r="B41" s="20" t="str">
        <x:v>Walk Chongqing With a Local</x:v>
      </x:c>
      <x:c r="C41" s="20" t="str">
        <x:v>Yedu</x:v>
      </x:c>
      <x:c r="D41" s="20" t="str">
        <x:v>S3</x:v>
      </x:c>
      <x:c r="E41" s="20" t="str">
        <x:v>首发步行体验的公开市场、语言、时长、体力、价格、支付和取消参照。</x:v>
      </x:c>
      <x:c r="F41" s="20" t="str">
        <x:v>抓取于2026-07-30</x:v>
      </x:c>
      <x:c r="G41" s="20" t="str">
        <x:v>公开页提供全日/半日路线、多人价格、语言、订金、支付和取消信息；所有事实仍需直接联系复核。</x:v>
      </x:c>
      <x:c r="H41" s="20" t="str">
        <x:v>https://www.yedutrip.com/yedushop/p/chongqing-walking-tour</x:v>
      </x:c>
      <x:c r="I41" s="20" t="str">
        <x:v>高：供应商自有营销页</x:v>
      </x:c>
    </x:row>
    <x:row r="42" ht="53" customHeight="1">
      <x:c r="A42" s="20" t="str">
        <x:v>SRC037</x:v>
      </x:c>
      <x:c r="B42" s="20" t="str">
        <x:v>Chongqing Bites: A Local Food Adventure on Foot</x:v>
      </x:c>
      <x:c r="C42" s="20" t="str">
        <x:v>GoWithGuide / Isa Z.</x:v>
      </x:c>
      <x:c r="D42" s="20" t="str">
        <x:v>S3</x:v>
      </x:c>
      <x:c r="E42" s="20" t="str">
        <x:v>饮食体验的公开市场、人数、包含项、价格和取消参照。</x:v>
      </x:c>
      <x:c r="F42" s="20" t="str">
        <x:v>抓取于2026-07-30</x:v>
      </x:c>
      <x:c r="G42" s="20" t="str">
        <x:v>公开页称3小时、最多6人、英语/中文、US$125/组并包含小吃和一顿正餐；需独立核验。</x:v>
      </x:c>
      <x:c r="H42" s="20" t="str">
        <x:v>https://gowithguide.com/china/tour/chongqing-chongqing-bites-a-local-food-adventure-on-foot-23431</x:v>
      </x:c>
      <x:c r="I42" s="20" t="str">
        <x:v>高：平台销售页</x:v>
      </x:c>
    </x:row>
    <x:row r="43" ht="53" customHeight="1">
      <x:c r="A43" s="20" t="str">
        <x:v>SRC038</x:v>
      </x:c>
      <x:c r="B43" s="20" t="str">
        <x:v>Beyond Tourist Chongqing — Teahouse &amp; Local Snacks Included</x:v>
      </x:c>
      <x:c r="C43" s="20" t="str">
        <x:v>GoWithGuide / Lisa F.</x:v>
      </x:c>
      <x:c r="D43" s="20" t="str">
        <x:v>S3</x:v>
      </x:c>
      <x:c r="E43" s="20" t="str">
        <x:v>茶馆和本地生活体验的公开市场、人数、包含项、价格和取消参照。</x:v>
      </x:c>
      <x:c r="F43" s="20" t="str">
        <x:v>抓取于2026-07-30</x:v>
      </x:c>
      <x:c r="G43" s="20" t="str">
        <x:v>公开页称3.5小时、最多5人、英语、茶和小吃并含出租车转场；拍摄与场地许可仍未知。</x:v>
      </x:c>
      <x:c r="H43" s="20" t="str">
        <x:v>https://gowithguide.com/china/tour/chongqing-beyond-tourist-chongqing-teahouse-local-snacks-included-23763</x:v>
      </x:c>
      <x:c r="I43" s="20" t="str">
        <x:v>高：平台销售页</x:v>
      </x:c>
    </x:row>
    <x:row r="44" ht="53" customHeight="1">
      <x:c r="A44" s="21" t="str">
        <x:v>SRC039</x:v>
      </x:c>
      <x:c r="B44" s="21" t="str">
        <x:v>九龙半岛九渡口滨江艺术风情街区资料</x:v>
      </x:c>
      <x:c r="C44" s="21" t="str">
        <x:v>重庆市文化和旅游发展委员会</x:v>
      </x:c>
      <x:c r="D44" s="21" t="str">
        <x:v>S1</x:v>
      </x:c>
      <x:c r="E44" s="21" t="str">
        <x:v>确认黄桷坪片区聚合川美、涂鸦街、美术公园、交通茶馆等公共文化旅游资源。</x:v>
      </x:c>
      <x:c r="F44" s="21" t="str">
        <x:v>公开资料</x:v>
      </x:c>
      <x:c r="G44" s="21" t="str">
        <x:v>官方资料列出四川美术学院、黄桷坪涂鸦街、美术公园、交通茶馆等资源。</x:v>
      </x:c>
      <x:c r="H44" s="21" t="str">
        <x:v>https://whlyw.cq.gov.cn/zwxx_221/ztzl/wlcy/zxcq/202412/P020241209602406961699.pdf</x:v>
      </x:c>
      <x:c r="I44" s="21" t="str">
        <x:v>低</x:v>
      </x:c>
    </x:row>
  </x:sheetData>
  <x:mergeCells>
    <x:mergeCell ref="A1:I1"/>
    <x:mergeCell ref="A2:I2"/>
  </x:mergeCells>
  <x:pageMargins left="0.7" right="0.7" top="0.75" bottom="0.75" header="0.3" footer="0.3"/>
  <x:tableParts count="1">
    <x:tablePart xmlns:r="http://schemas.openxmlformats.org/officeDocument/2006/relationships" r:id="R97bdd742431e421e"/>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8" hidden="0" customWidth="1"/>
    <x:col min="4" max="4" width="18" hidden="0" customWidth="1"/>
    <x:col min="5" max="5" width="18" hidden="0" customWidth="1"/>
    <x:col min="6" max="6" width="18" hidden="0" customWidth="1"/>
    <x:col min="7" max="7" width="24" hidden="0" customWidth="1"/>
  </x:cols>
  <x:sheetData>
    <x:row r="1" ht="32" customHeight="1">
      <x:c r="A1" s="3" t="str">
        <x:v>参数字典｜所有筛选逻辑可审计</x:v>
      </x:c>
      <x:c r="B1" s="3"/>
      <x:c r="C1" s="3"/>
      <x:c r="D1" s="3"/>
      <x:c r="E1" s="3"/>
      <x:c r="F1" s="3"/>
      <x:c r="G1" s="3"/>
    </x:row>
    <x:row r="2" ht="30" customHeight="1">
      <x:c r="A2" s="7" t="str">
        <x:v>重要权重和字段含义保存在单元格中，不把决策写死在代码或复杂公式里。</x:v>
      </x:c>
      <x:c r="B2" s="7"/>
      <x:c r="C2" s="7"/>
      <x:c r="D2" s="7"/>
      <x:c r="E2" s="7"/>
      <x:c r="F2" s="7"/>
      <x:c r="G2" s="7"/>
    </x:row>
    <x:row r="5" ht="34" customHeight="1">
      <x:c r="A5" s="11" t="str">
        <x:v>字段组</x:v>
      </x:c>
      <x:c r="B5" s="11" t="str">
        <x:v>字段/参数</x:v>
      </x:c>
      <x:c r="C5" s="11" t="str">
        <x:v>定义/用途</x:v>
      </x:c>
      <x:c r="D5" s="11" t="str">
        <x:v>取值1</x:v>
      </x:c>
      <x:c r="E5" s="11" t="str">
        <x:v>取值2</x:v>
      </x:c>
      <x:c r="F5" s="11" t="str">
        <x:v>取值3</x:v>
      </x:c>
      <x:c r="G5" s="11" t="str">
        <x:v>备注</x:v>
      </x:c>
    </x:row>
    <x:row r="6" ht="42" customHeight="1">
      <x:c r="A6" s="19" t="str">
        <x:v>点位内容角色</x:v>
      </x:c>
      <x:c r="B6" s="19" t="str">
        <x:v>引流钩子</x:v>
      </x:c>
      <x:c r="C6" s="19" t="str">
        <x:v>决定游客为什么来重庆</x:v>
      </x:c>
      <x:c r="D6" s="19" t="str"/>
      <x:c r="E6" s="19" t="str"/>
      <x:c r="F6" s="19" t="str"/>
      <x:c r="G6" s="19" t="str"/>
    </x:row>
    <x:row r="7" ht="42" customHeight="1">
      <x:c r="A7" s="20" t="str">
        <x:v>点位内容角色</x:v>
      </x:c>
      <x:c r="B7" s="20" t="str">
        <x:v>核心解释</x:v>
      </x:c>
      <x:c r="C7" s="20" t="str">
        <x:v>回答游客看见的现象为什么发生</x:v>
      </x:c>
      <x:c r="D7" s="20" t="str"/>
      <x:c r="E7" s="20" t="str"/>
      <x:c r="F7" s="20" t="str"/>
      <x:c r="G7" s="20" t="str"/>
    </x:row>
    <x:row r="8" ht="42" customHeight="1">
      <x:c r="A8" s="20" t="str">
        <x:v>点位内容角色</x:v>
      </x:c>
      <x:c r="B8" s="20" t="str">
        <x:v>真实生活</x:v>
      </x:c>
      <x:c r="C8" s="20" t="str">
        <x:v>产生到访后的满意度和真实感</x:v>
      </x:c>
      <x:c r="D8" s="20" t="str"/>
      <x:c r="E8" s="20" t="str"/>
      <x:c r="F8" s="20" t="str"/>
      <x:c r="G8" s="20" t="str"/>
    </x:row>
    <x:row r="9" ht="42" customHeight="1">
      <x:c r="A9" s="20" t="str">
        <x:v>点位内容角色</x:v>
      </x:c>
      <x:c r="B9" s="20" t="str">
        <x:v>付费体验</x:v>
      </x:c>
      <x:c r="C9" s="20" t="str">
        <x:v>需要供应商、预约和履约规则</x:v>
      </x:c>
      <x:c r="D9" s="20" t="str"/>
      <x:c r="E9" s="20" t="str"/>
      <x:c r="F9" s="20" t="str"/>
      <x:c r="G9" s="20" t="str"/>
    </x:row>
    <x:row r="10" ht="42" customHeight="1">
      <x:c r="A10" s="20" t="str">
        <x:v>默认输出级别</x:v>
      </x:c>
      <x:c r="B10" s="20" t="str">
        <x:v>A 必须</x:v>
      </x:c>
      <x:c r="C10" s="20" t="str">
        <x:v>多数相关客群的核心信息</x:v>
      </x:c>
      <x:c r="D10" s="20" t="str"/>
      <x:c r="E10" s="20" t="str"/>
      <x:c r="F10" s="20" t="str"/>
      <x:c r="G10" s="20" t="str"/>
    </x:row>
    <x:row r="11" ht="42" customHeight="1">
      <x:c r="A11" s="20" t="str">
        <x:v>默认输出级别</x:v>
      </x:c>
      <x:c r="B11" s="20" t="str">
        <x:v>B 按兴趣</x:v>
      </x:c>
      <x:c r="C11" s="20" t="str">
        <x:v>画像匹配时输出</x:v>
      </x:c>
      <x:c r="D11" s="20" t="str"/>
      <x:c r="E11" s="20" t="str"/>
      <x:c r="F11" s="20" t="str"/>
      <x:c r="G11" s="20" t="str"/>
    </x:row>
    <x:row r="12" ht="42" customHeight="1">
      <x:c r="A12" s="20" t="str">
        <x:v>默认输出级别</x:v>
      </x:c>
      <x:c r="B12" s="20" t="str">
        <x:v>C 深度补充</x:v>
      </x:c>
      <x:c r="C12" s="20" t="str">
        <x:v>只有深度版或特定问题才输出</x:v>
      </x:c>
      <x:c r="D12" s="20" t="str"/>
      <x:c r="E12" s="20" t="str"/>
      <x:c r="F12" s="20" t="str"/>
      <x:c r="G12" s="20" t="str"/>
    </x:row>
    <x:row r="13" ht="42" customHeight="1">
      <x:c r="A13" s="20" t="str">
        <x:v>默认输出级别</x:v>
      </x:c>
      <x:c r="B13" s="20" t="str">
        <x:v>X 默认不输出</x:v>
      </x:c>
      <x:c r="C13" s="20" t="str">
        <x:v>内部保留，游客端通常删除</x:v>
      </x:c>
      <x:c r="D13" s="20" t="str"/>
      <x:c r="E13" s="20" t="str"/>
      <x:c r="F13" s="20" t="str"/>
      <x:c r="G13" s="20" t="str"/>
    </x:row>
    <x:row r="14" ht="42" customHeight="1">
      <x:c r="A14" s="20" t="str"/>
      <x:c r="B14" s="20"/>
      <x:c r="C14" s="20" t="str"/>
      <x:c r="D14" s="20" t="str"/>
      <x:c r="E14" s="20" t="str"/>
      <x:c r="F14" s="20" t="str"/>
      <x:c r="G14" s="20" t="str"/>
    </x:row>
    <x:row r="15" ht="42" customHeight="1">
      <x:c r="A15" s="20" t="str">
        <x:v>内容优先分权重</x:v>
      </x:c>
      <x:c r="B15" s="20"/>
      <x:c r="C15" s="20" t="str">
        <x:v>用于点位内容库AH列公式</x:v>
      </x:c>
      <x:c r="D15" s="20" t="str"/>
      <x:c r="E15" s="20" t="str"/>
      <x:c r="F15" s="20" t="str"/>
      <x:c r="G15" s="20" t="str"/>
    </x:row>
    <x:row r="16" ht="42" customHeight="1">
      <x:c r="A16" s="20" t="str">
        <x:v>产品研究分</x:v>
      </x:c>
      <x:c r="B16" s="26" t="n">
        <x:v>0.2</x:v>
      </x:c>
      <x:c r="C16" s="20" t="str">
        <x:v>原研究版的产品综合分</x:v>
      </x:c>
      <x:c r="D16" s="20" t="str"/>
      <x:c r="E16" s="20" t="str"/>
      <x:c r="F16" s="20" t="str"/>
      <x:c r="G16" s="20" t="str"/>
    </x:row>
    <x:row r="17" ht="42" customHeight="1">
      <x:c r="A17" s="20" t="str">
        <x:v>证据分</x:v>
      </x:c>
      <x:c r="B17" s="26" t="n">
        <x:v>0.15</x:v>
      </x:c>
      <x:c r="C17" s="20" t="str">
        <x:v>来源权威、交叉验证、时效和现场核验</x:v>
      </x:c>
      <x:c r="D17" s="20" t="str"/>
      <x:c r="E17" s="20" t="str"/>
      <x:c r="F17" s="20" t="str"/>
      <x:c r="G17" s="20" t="str"/>
    </x:row>
    <x:row r="18" ht="42" customHeight="1">
      <x:c r="A18" s="20" t="str">
        <x:v>海外引流力</x:v>
      </x:c>
      <x:c r="B18" s="26" t="n">
        <x:v>0.2</x:v>
      </x:c>
      <x:c r="C18" s="20" t="str">
        <x:v>出发前选择重庆的吸引力</x:v>
      </x:c>
      <x:c r="D18" s="20" t="str"/>
      <x:c r="E18" s="20" t="str"/>
      <x:c r="F18" s="20" t="str"/>
      <x:c r="G18" s="20" t="str"/>
    </x:row>
    <x:row r="19" ht="42" customHeight="1">
      <x:c r="A19" s="20" t="str">
        <x:v>到访满意度</x:v>
      </x:c>
      <x:c r="B19" s="26" t="n">
        <x:v>0.3</x:v>
      </x:c>
      <x:c r="C19" s="20" t="str">
        <x:v>实际体验后的满意度与记忆</x:v>
      </x:c>
      <x:c r="D19" s="20" t="str"/>
      <x:c r="E19" s="20" t="str"/>
      <x:c r="F19" s="20" t="str"/>
      <x:c r="G19" s="20" t="str"/>
    </x:row>
    <x:row r="20" ht="42" customHeight="1">
      <x:c r="A20" s="20" t="str">
        <x:v>付费潜力</x:v>
      </x:c>
      <x:c r="B20" s="26" t="n">
        <x:v>0.15</x:v>
      </x:c>
      <x:c r="C20" s="20" t="str">
        <x:v>是否能转成有履约价值的产品</x:v>
      </x:c>
      <x:c r="D20" s="20" t="str"/>
      <x:c r="E20" s="20" t="str"/>
      <x:c r="F20" s="20" t="str"/>
      <x:c r="G20" s="20" t="str"/>
    </x:row>
    <x:row r="21" ht="42" customHeight="1">
      <x:c r="A21" s="20" t="str"/>
      <x:c r="B21" s="20"/>
      <x:c r="C21" s="20" t="str"/>
      <x:c r="D21" s="20" t="str"/>
      <x:c r="E21" s="20" t="str"/>
      <x:c r="F21" s="20" t="str"/>
      <x:c r="G21" s="20" t="str"/>
    </x:row>
    <x:row r="22" ht="42" customHeight="1">
      <x:c r="A22" s="20" t="str">
        <x:v>匹配计算</x:v>
      </x:c>
      <x:c r="B22" s="20" t="str">
        <x:v>画像分</x:v>
      </x:c>
      <x:c r="C22" s="20" t="str">
        <x:v>路线模块库中对应客群1—5分</x:v>
      </x:c>
      <x:c r="D22" s="20" t="str"/>
      <x:c r="E22" s="20" t="str"/>
      <x:c r="F22" s="20" t="str"/>
      <x:c r="G22" s="20" t="str"/>
    </x:row>
    <x:row r="23" ht="42" customHeight="1">
      <x:c r="A23" s="20" t="str">
        <x:v>匹配计算</x:v>
      </x:c>
      <x:c r="B23" s="20" t="str">
        <x:v>体力修正</x:v>
      </x:c>
      <x:c r="C23" s="20" t="str">
        <x:v>低体力自动降低高体力模块</x:v>
      </x:c>
      <x:c r="D23" s="20" t="str"/>
      <x:c r="E23" s="20" t="str"/>
      <x:c r="F23" s="20" t="str"/>
      <x:c r="G23" s="20" t="str"/>
    </x:row>
    <x:row r="24" ht="42" customHeight="1">
      <x:c r="A24" s="20" t="str">
        <x:v>匹配计算</x:v>
      </x:c>
      <x:c r="B24" s="20" t="str">
        <x:v>天气修正</x:v>
      </x:c>
      <x:c r="C24" s="20" t="str">
        <x:v>雨天/炎热降低不适配模块</x:v>
      </x:c>
      <x:c r="D24" s="20" t="str"/>
      <x:c r="E24" s="20" t="str"/>
      <x:c r="F24" s="20" t="str"/>
      <x:c r="G24" s="20" t="str"/>
    </x:row>
    <x:row r="25" ht="42" customHeight="1">
      <x:c r="A25" s="20" t="str">
        <x:v>匹配计算</x:v>
      </x:c>
      <x:c r="B25" s="20" t="str">
        <x:v>D4修正</x:v>
      </x:c>
      <x:c r="C25" s="20" t="str">
        <x:v>第四天只保留所选路线版本</x:v>
      </x:c>
      <x:c r="D25" s="20" t="str"/>
      <x:c r="E25" s="20" t="str"/>
      <x:c r="F25" s="20" t="str"/>
      <x:c r="G25" s="20" t="str"/>
    </x:row>
    <x:row r="26" ht="42" customHeight="1">
      <x:c r="A26" s="21" t="str">
        <x:v>匹配计算</x:v>
      </x:c>
      <x:c r="B26" s="21" t="str">
        <x:v>日内排名</x:v>
      </x:c>
      <x:c r="C26" s="21" t="str">
        <x:v>每一天独立排名，避免结果全挤在第一天</x:v>
      </x:c>
      <x:c r="D26" s="21" t="str"/>
      <x:c r="E26" s="21" t="str"/>
      <x:c r="F26" s="21" t="str"/>
      <x:c r="G26" s="21" t="str"/>
    </x:row>
  </x:sheetData>
  <x:mergeCells>
    <x:mergeCell ref="A1:G1"/>
    <x:mergeCell ref="A2:G2"/>
  </x:mergeCells>
  <x:pageMargins left="0.7" right="0.7" top="0.75" bottom="0.75" header="0.3" footer="0.3"/>
  <x:tableParts count="1">
    <x:tablePart xmlns:r="http://schemas.openxmlformats.org/officeDocument/2006/relationships" r:id="R02f5b23d213e4c4b"/>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25" hidden="0" customWidth="1"/>
    <x:col min="4" max="4" width="18" hidden="0" customWidth="1"/>
    <x:col min="5" max="5" width="10" hidden="0" customWidth="1"/>
    <x:col min="6" max="6" width="11" hidden="0" customWidth="1"/>
    <x:col min="7" max="7" width="11" hidden="0" customWidth="1"/>
    <x:col min="8" max="8" width="11" hidden="0" customWidth="1"/>
    <x:col min="9" max="9" width="11" hidden="0" customWidth="1"/>
    <x:col min="10" max="10" width="12" hidden="0" customWidth="1"/>
    <x:col min="11" max="11" width="11" hidden="0" customWidth="1"/>
    <x:col min="12" max="12" width="12" hidden="0" customWidth="1"/>
    <x:col min="13" max="13" width="13" hidden="0" customWidth="1"/>
    <x:col min="14" max="14" width="11" hidden="0" customWidth="1"/>
    <x:col min="15" max="15" width="11" hidden="0" customWidth="1"/>
    <x:col min="16" max="16" width="11" hidden="0" customWidth="1"/>
    <x:col min="17" max="17" width="11" hidden="0" customWidth="1"/>
    <x:col min="18" max="18" width="13" hidden="0" customWidth="1"/>
    <x:col min="19" max="19" width="11" hidden="0" customWidth="1"/>
    <x:col min="20" max="20" width="11" hidden="0" customWidth="1"/>
    <x:col min="21" max="21" width="13" hidden="0" customWidth="1"/>
    <x:col min="22" max="22" width="12" hidden="0" customWidth="1"/>
    <x:col min="23" max="23" width="15" hidden="0" customWidth="1"/>
    <x:col min="24" max="24" width="28" hidden="0" customWidth="1"/>
  </x:cols>
  <x:sheetData>
    <x:row r="1" ht="32" customHeight="1">
      <x:c r="A1" s="3" t="str">
        <x:v>匹配计算｜画像只是起点，客户真实需要参与排序</x:v>
      </x:c>
      <x:c r="B1" s="3"/>
      <x:c r="C1" s="3"/>
      <x:c r="D1" s="3"/>
      <x:c r="E1" s="3"/>
      <x:c r="F1" s="3"/>
      <x:c r="G1" s="3"/>
      <x:c r="H1" s="3"/>
      <x:c r="I1" s="3"/>
      <x:c r="J1" s="3"/>
      <x:c r="K1" s="3"/>
      <x:c r="L1" s="3"/>
      <x:c r="M1" s="3"/>
      <x:c r="N1" s="3"/>
      <x:c r="O1" s="3"/>
      <x:c r="P1" s="3"/>
      <x:c r="Q1" s="3"/>
      <x:c r="R1" s="3"/>
      <x:c r="S1" s="3"/>
      <x:c r="T1" s="3"/>
      <x:c r="U1" s="3"/>
      <x:c r="V1" s="3"/>
      <x:c r="W1" s="3"/>
      <x:c r="X1" s="3"/>
    </x:row>
    <x:row r="2" ht="30" customHeight="1">
      <x:c r="A2" s="7" t="str">
        <x:v>先执行体力、天气和天数等硬条件，再把置信度不低于50%的八个潜意图加入排序。该表完整公开分数来源，游客不会看到。</x:v>
      </x:c>
      <x:c r="B2" s="7"/>
      <x:c r="C2" s="7"/>
      <x:c r="D2" s="7"/>
      <x:c r="E2" s="7"/>
      <x:c r="F2" s="7"/>
      <x:c r="G2" s="7"/>
      <x:c r="H2" s="7"/>
      <x:c r="I2" s="7"/>
      <x:c r="J2" s="7"/>
      <x:c r="K2" s="7"/>
      <x:c r="L2" s="7"/>
      <x:c r="M2" s="7"/>
      <x:c r="N2" s="7"/>
      <x:c r="O2" s="7"/>
      <x:c r="P2" s="7"/>
      <x:c r="Q2" s="7"/>
      <x:c r="R2" s="7"/>
      <x:c r="S2" s="7"/>
      <x:c r="T2" s="7"/>
      <x:c r="U2" s="7"/>
      <x:c r="V2" s="7"/>
      <x:c r="W2" s="7"/>
      <x:c r="X2" s="7"/>
    </x:row>
    <x:row r="5" ht="34" customHeight="1">
      <x:c r="A5" s="10" t="str">
        <x:v>模块ID</x:v>
      </x:c>
      <x:c r="B5" s="10" t="str">
        <x:v>默认日</x:v>
      </x:c>
      <x:c r="C5" s="10" t="str">
        <x:v>模块名称</x:v>
      </x:c>
      <x:c r="D5" s="10" t="str">
        <x:v>内容角色</x:v>
      </x:c>
      <x:c r="E5" s="10" t="str">
        <x:v>画像分</x:v>
      </x:c>
      <x:c r="F5" s="10" t="str">
        <x:v>体力修正</x:v>
      </x:c>
      <x:c r="G5" s="10" t="str">
        <x:v>天气修正</x:v>
      </x:c>
      <x:c r="H5" s="10" t="str">
        <x:v>D4修正</x:v>
      </x:c>
      <x:c r="I5" s="10" t="str">
        <x:v>基础分</x:v>
      </x:c>
      <x:c r="J5" s="10" t="str">
        <x:v>匹配分</x:v>
      </x:c>
      <x:c r="K5" s="10" t="str">
        <x:v>日内排名</x:v>
      </x:c>
      <x:c r="L5" s="10" t="str">
        <x:v>检索键</x:v>
      </x:c>
      <x:c r="M5" s="10" t="str">
        <x:v>输出状态</x:v>
      </x:c>
      <x:c r="N5" s="10" t="str">
        <x:v>视觉贡献</x:v>
      </x:c>
      <x:c r="O5" s="10" t="str">
        <x:v>历史贡献</x:v>
      </x:c>
      <x:c r="P5" s="10" t="str">
        <x:v>在地贡献</x:v>
      </x:c>
      <x:c r="Q5" s="10" t="str">
        <x:v>饮食贡献</x:v>
      </x:c>
      <x:c r="R5" s="10" t="str">
        <x:v>低摩擦贡献</x:v>
      </x:c>
      <x:c r="S5" s="10" t="str">
        <x:v>摄影贡献</x:v>
      </x:c>
      <x:c r="T5" s="10" t="str">
        <x:v>亲子贡献</x:v>
      </x:c>
      <x:c r="U5" s="10" t="str">
        <x:v>新鲜感贡献</x:v>
      </x:c>
      <x:c r="V5" s="10" t="str">
        <x:v>潜意图合计</x:v>
      </x:c>
      <x:c r="W5" s="10" t="str">
        <x:v>主匹配意图</x:v>
      </x:c>
      <x:c r="X5" s="10" t="str">
        <x:v>履约状态</x:v>
      </x:c>
    </x:row>
    <x:row r="6" ht="38" customHeight="1">
      <x:c r="A6" s="88" t="str">
        <x:f>'路线模块库'!A6</x:f>
        <x:v>RM01</x:v>
      </x:c>
      <x:c r="B6" s="88" t="str">
        <x:f>'路线模块库'!B6</x:f>
        <x:v>D1</x:v>
      </x:c>
      <x:c r="C6" s="88" t="str">
        <x:f>'路线模块库'!D6</x:f>
        <x:v>城市坐标与宗教夹层</x:v>
      </x:c>
      <x:c r="D6" s="88" t="str">
        <x:f>'路线模块库'!E6</x:f>
        <x:v>核心解释</x:v>
      </x:c>
      <x:c r="E6" s="91" t="n">
        <x:f>IF('游客输出器'!$B$5="首次经典",'路线模块库'!O6,IF('游客输出器'!$B$5="赛博摄影",'路线模块库'!P6,IF('游客输出器'!$B$5="文化历史",'路线模块库'!Q6,IF('游客输出器'!$B$5="美食生活",'路线模块库'!R6,IF('游客输出器'!$B$5="亲子轻松",'路线模块库'!S6,'路线模块库'!T6)))))</x:f>
        <x:v>5</x:v>
      </x:c>
      <x:c r="F6" s="91" t="n">
        <x:f>IF('游客输出器'!$B$6="低",IF('路线模块库'!L6=3,-120,IF(AND('路线模块库'!L6=2,'路线模块库'!K6&gt;120),-30,IF('路线模块库'!L6=2,-15,0))),IF('游客输出器'!$B$6="中",IF('路线模块库'!L6=3,-12,0),0))</x:f>
        <x:v>0</x:v>
      </x:c>
      <x:c r="G6" s="91" t="n">
        <x:f>IF('游客输出器'!$B$7="雨天",('路线模块库'!M6-3)*15,IF('游客输出器'!$B$7="炎热",('路线模块库'!N6-3)*12,0))</x:f>
        <x:v>0</x:v>
      </x:c>
      <x:c r="H6" s="91" t="n">
        <x:f>IF(B6="D4",IF('游客输出器'!$B$4&lt;4,-100,IF('路线模块库'!C6='游客输出器'!$B$8,20,-60)),IF(VALUE(RIGHT(B6,1))&lt;='游客输出器'!$B$4,0,-100))</x:f>
        <x:v>0</x:v>
      </x:c>
      <x:c r="I6" s="91" t="n">
        <x:f>'路线模块库'!V6</x:f>
        <x:v>84</x:v>
      </x:c>
      <x:c r="J6" s="91" t="n">
        <x:f>I6+E6*12+F6+G6+H6+'路线模块库'!U6*3+V6+ROW()/10000</x:f>
        <x:v>137.0006</x:v>
      </x:c>
      <x:c r="K6" s="91" t="n">
        <x:f>COUNTIFS($B$6:$B$29,B6,$J$6:$J$29,"&gt;"&amp;J6)+1</x:f>
        <x:v>4</x:v>
      </x:c>
      <x:c r="L6" s="91" t="str">
        <x:f>B6&amp;"-"&amp;K6</x:f>
        <x:v>D1-4</x:v>
      </x:c>
      <x:c r="M6" s="91" t="str">
        <x:f>IF(AND(K6&lt;='游客输出器'!$B$11,OR(B6&lt;&gt;"D4",'游客输出器'!$B$4=4)),"输出","不输出")</x:f>
        <x:v>不输出</x:v>
      </x:c>
      <x:c r="N6" s="91" t="n">
        <x:f>IF('智能体会话输入'!$C$29&gt;=0.5,ROUND(('路线模块库'!AC6-3)*'智能体会话输入'!$B$29*'智能体会话输入'!$C$29*1.5,0),0)</x:f>
        <x:v>-7</x:v>
      </x:c>
      <x:c r="O6" s="91" t="n">
        <x:f>IF('智能体会话输入'!$C$30&gt;=0.5,ROUND(('路线模块库'!AD6-3)*'智能体会话输入'!$B$30*'智能体会话输入'!$C$30*1.5,0),0)</x:f>
        <x:v>0</x:v>
      </x:c>
      <x:c r="P6" s="91" t="n">
        <x:f>IF('智能体会话输入'!$C$31&gt;=0.5,ROUND(('路线模块库'!AE6-3)*'智能体会话输入'!$B$31*'智能体会话输入'!$C$31*1.5,0),0)</x:f>
        <x:v>-5</x:v>
      </x:c>
      <x:c r="Q6" s="91" t="n">
        <x:f>IF('智能体会话输入'!$C$32&gt;=0.5,ROUND(('路线模块库'!AF6-3)*'智能体会话输入'!$B$32*'智能体会话输入'!$C$32*1.5,0),0)</x:f>
        <x:v>0</x:v>
      </x:c>
      <x:c r="R6" s="91" t="n">
        <x:f>IF('智能体会话输入'!$C$33&gt;=0.5,ROUND(('路线模块库'!AG6-3)*'智能体会话输入'!$B$33*'智能体会话输入'!$C$33*1.5,0),0)</x:f>
        <x:v>6</x:v>
      </x:c>
      <x:c r="S6" s="91" t="n">
        <x:f>IF('智能体会话输入'!$C$34&gt;=0.5,ROUND(('路线模块库'!AH6-3)*'智能体会话输入'!$B$34*'智能体会话输入'!$C$34*1.5,0),0)</x:f>
        <x:v>-5</x:v>
      </x:c>
      <x:c r="T6" s="91" t="n">
        <x:f>IF('智能体会话输入'!$C$35&gt;=0.5,ROUND(('路线模块库'!AI6-3)*'智能体会话输入'!$B$35*'智能体会话输入'!$C$35*1.5,0),0)</x:f>
        <x:v>0</x:v>
      </x:c>
      <x:c r="U6" s="91" t="n">
        <x:f>IF('智能体会话输入'!$C$36&gt;=0.5,ROUND(('路线模块库'!AJ6-3)*'智能体会话输入'!$B$36*'智能体会话输入'!$C$36*1.5,0),0)</x:f>
        <x:v>-5</x:v>
      </x:c>
      <x:c r="V6" s="91" t="n">
        <x:f>SUM(N6:U6)</x:f>
        <x:v>-16</x:v>
      </x:c>
      <x:c r="W6" s="88" t="str">
        <x:f>IF(MAX(N6:U6)&lt;=0,"基础画像",IF(MAX(N6:U6)=N6,"视觉奇观",IF(MAX(N6:U6)=O6,"历史理解",IF(MAX(N6:U6)=P6,"在地生活",IF(MAX(N6:U6)=Q6,"饮食互动",IF(MAX(N6:U6)=R6,"低摩擦",IF(MAX(N6:U6)=S6,"摄影创作",IF(MAX(N6:U6)=T6,"亲子教育","复游新鲜感"))))))))</x:f>
        <x:v>低摩擦</x:v>
      </x:c>
      <x:c r="X6" s="88" t="str">
        <x:f>IF('路线模块库'!AL6="无","可直接输出","需确认："&amp;'路线模块库'!AL6)</x:f>
        <x:v>可直接输出</x:v>
      </x:c>
    </x:row>
    <x:row r="7" ht="38" customHeight="1">
      <x:c r="A7" s="89" t="str">
        <x:f>'路线模块库'!A7</x:f>
        <x:v>RM02</x:v>
      </x:c>
      <x:c r="B7" s="89" t="str">
        <x:f>'路线模块库'!B7</x:f>
        <x:v>D1</x:v>
      </x:c>
      <x:c r="C7" s="89" t="str">
        <x:f>'路线模块库'!D7</x:f>
        <x:v>多重地面实验</x:v>
      </x:c>
      <x:c r="D7" s="89" t="str">
        <x:f>'路线模块库'!E7</x:f>
        <x:v>引流钩子</x:v>
      </x:c>
      <x:c r="E7" s="92" t="n">
        <x:f>IF('游客输出器'!$B$5="首次经典",'路线模块库'!O7,IF('游客输出器'!$B$5="赛博摄影",'路线模块库'!P7,IF('游客输出器'!$B$5="文化历史",'路线模块库'!Q7,IF('游客输出器'!$B$5="美食生活",'路线模块库'!R7,IF('游客输出器'!$B$5="亲子轻松",'路线模块库'!S7,'路线模块库'!T7)))))</x:f>
        <x:v>5</x:v>
      </x:c>
      <x:c r="F7" s="92" t="n">
        <x:f>IF('游客输出器'!$B$6="低",IF('路线模块库'!L7=3,-120,IF(AND('路线模块库'!L7=2,'路线模块库'!K7&gt;120),-30,IF('路线模块库'!L7=2,-15,0))),IF('游客输出器'!$B$6="中",IF('路线模块库'!L7=3,-12,0),0))</x:f>
        <x:v>0</x:v>
      </x:c>
      <x:c r="G7" s="92" t="n">
        <x:f>IF('游客输出器'!$B$7="雨天",('路线模块库'!M7-3)*15,IF('游客输出器'!$B$7="炎热",('路线模块库'!N7-3)*12,0))</x:f>
        <x:v>0</x:v>
      </x:c>
      <x:c r="H7" s="92" t="n">
        <x:f>IF(B7="D4",IF('游客输出器'!$B$4&lt;4,-100,IF('路线模块库'!C7='游客输出器'!$B$8,20,-60)),IF(VALUE(RIGHT(B7,1))&lt;='游客输出器'!$B$4,0,-100))</x:f>
        <x:v>0</x:v>
      </x:c>
      <x:c r="I7" s="92" t="n">
        <x:f>'路线模块库'!V7</x:f>
        <x:v>98</x:v>
      </x:c>
      <x:c r="J7" s="92" t="n">
        <x:f>I7+E7*12+F7+G7+H7+'路线模块库'!U7*3+V7+ROW()/10000</x:f>
        <x:v>191.0007</x:v>
      </x:c>
      <x:c r="K7" s="92" t="n">
        <x:f>COUNTIFS($B$6:$B$29,B7,$J$6:$J$29,"&gt;"&amp;J7)+1</x:f>
        <x:v>1</x:v>
      </x:c>
      <x:c r="L7" s="92" t="str">
        <x:f>B7&amp;"-"&amp;K7</x:f>
        <x:v>D1-1</x:v>
      </x:c>
      <x:c r="M7" s="92" t="str">
        <x:f>IF(AND(K7&lt;='游客输出器'!$B$11,OR(B7&lt;&gt;"D4",'游客输出器'!$B$4=4)),"输出","不输出")</x:f>
        <x:v>输出</x:v>
      </x:c>
      <x:c r="N7" s="92" t="n">
        <x:f>IF('智能体会话输入'!$C$29&gt;=0.5,ROUND(('路线模块库'!AC7-3)*'智能体会话输入'!$B$29*'智能体会话输入'!$C$29*1.5,0),0)</x:f>
        <x:v>14</x:v>
      </x:c>
      <x:c r="O7" s="92" t="n">
        <x:f>IF('智能体会话输入'!$C$30&gt;=0.5,ROUND(('路线模块库'!AD7-3)*'智能体会话输入'!$B$30*'智能体会话输入'!$C$30*1.5,0),0)</x:f>
        <x:v>0</x:v>
      </x:c>
      <x:c r="P7" s="92" t="n">
        <x:f>IF('智能体会话输入'!$C$31&gt;=0.5,ROUND(('路线模块库'!AE7-3)*'智能体会话输入'!$B$31*'智能体会话输入'!$C$31*1.5,0),0)</x:f>
        <x:v>-10</x:v>
      </x:c>
      <x:c r="Q7" s="92" t="n">
        <x:f>IF('智能体会话输入'!$C$32&gt;=0.5,ROUND(('路线模块库'!AF7-3)*'智能体会话输入'!$B$32*'智能体会话输入'!$C$32*1.5,0),0)</x:f>
        <x:v>0</x:v>
      </x:c>
      <x:c r="R7" s="92" t="n">
        <x:f>IF('智能体会话输入'!$C$33&gt;=0.5,ROUND(('路线模块库'!AG7-3)*'智能体会话输入'!$B$33*'智能体会话输入'!$C$33*1.5,0),0)</x:f>
        <x:v>6</x:v>
      </x:c>
      <x:c r="S7" s="92" t="n">
        <x:f>IF('智能体会话输入'!$C$34&gt;=0.5,ROUND(('路线模块库'!AH7-3)*'智能体会话输入'!$B$34*'智能体会话输入'!$C$34*1.5,0),0)</x:f>
        <x:v>11</x:v>
      </x:c>
      <x:c r="T7" s="92" t="n">
        <x:f>IF('智能体会话输入'!$C$35&gt;=0.5,ROUND(('路线模块库'!AI7-3)*'智能体会话输入'!$B$35*'智能体会话输入'!$C$35*1.5,0),0)</x:f>
        <x:v>0</x:v>
      </x:c>
      <x:c r="U7" s="92" t="n">
        <x:f>IF('智能体会话输入'!$C$36&gt;=0.5,ROUND(('路线模块库'!AJ7-3)*'智能体会话输入'!$B$36*'智能体会话输入'!$C$36*1.5,0),0)</x:f>
        <x:v>0</x:v>
      </x:c>
      <x:c r="V7" s="92" t="n">
        <x:f>SUM(N7:U7)</x:f>
        <x:v>21</x:v>
      </x:c>
      <x:c r="W7" s="89" t="str">
        <x:f>IF(MAX(N7:U7)&lt;=0,"基础画像",IF(MAX(N7:U7)=N7,"视觉奇观",IF(MAX(N7:U7)=O7,"历史理解",IF(MAX(N7:U7)=P7,"在地生活",IF(MAX(N7:U7)=Q7,"饮食互动",IF(MAX(N7:U7)=R7,"低摩擦",IF(MAX(N7:U7)=S7,"摄影创作",IF(MAX(N7:U7)=T7,"亲子教育","复游新鲜感"))))))))</x:f>
        <x:v>视觉奇观</x:v>
      </x:c>
      <x:c r="X7" s="89" t="str">
        <x:f>IF('路线模块库'!AL7="无","可直接输出","需确认："&amp;'路线模块库'!AL7)</x:f>
        <x:v>需确认：恐高程度</x:v>
      </x:c>
    </x:row>
    <x:row r="8" ht="38" customHeight="1">
      <x:c r="A8" s="89" t="str">
        <x:f>'路线模块库'!A8</x:f>
        <x:v>RM03</x:v>
      </x:c>
      <x:c r="B8" s="89" t="str">
        <x:f>'路线模块库'!B8</x:f>
        <x:v>D1</x:v>
      </x:c>
      <x:c r="C8" s="89" t="str">
        <x:f>'路线模块库'!D8</x:f>
        <x:v>两江门户</x:v>
      </x:c>
      <x:c r="D8" s="89" t="str">
        <x:f>'路线模块库'!E8</x:f>
        <x:v>核心解释</x:v>
      </x:c>
      <x:c r="E8" s="92" t="n">
        <x:f>IF('游客输出器'!$B$5="首次经典",'路线模块库'!O8,IF('游客输出器'!$B$5="赛博摄影",'路线模块库'!P8,IF('游客输出器'!$B$5="文化历史",'路线模块库'!Q8,IF('游客输出器'!$B$5="美食生活",'路线模块库'!R8,IF('游客输出器'!$B$5="亲子轻松",'路线模块库'!S8,'路线模块库'!T8)))))</x:f>
        <x:v>5</x:v>
      </x:c>
      <x:c r="F8" s="92" t="n">
        <x:f>IF('游客输出器'!$B$6="低",IF('路线模块库'!L8=3,-120,IF(AND('路线模块库'!L8=2,'路线模块库'!K8&gt;120),-30,IF('路线模块库'!L8=2,-15,0))),IF('游客输出器'!$B$6="中",IF('路线模块库'!L8=3,-12,0),0))</x:f>
        <x:v>-15</x:v>
      </x:c>
      <x:c r="G8" s="92" t="n">
        <x:f>IF('游客输出器'!$B$7="雨天",('路线模块库'!M8-3)*15,IF('游客输出器'!$B$7="炎热",('路线模块库'!N8-3)*12,0))</x:f>
        <x:v>0</x:v>
      </x:c>
      <x:c r="H8" s="92" t="n">
        <x:f>IF(B8="D4",IF('游客输出器'!$B$4&lt;4,-100,IF('路线模块库'!C8='游客输出器'!$B$8,20,-60)),IF(VALUE(RIGHT(B8,1))&lt;='游客输出器'!$B$4,0,-100))</x:f>
        <x:v>0</x:v>
      </x:c>
      <x:c r="I8" s="92" t="n">
        <x:f>'路线模块库'!V8</x:f>
        <x:v>92</x:v>
      </x:c>
      <x:c r="J8" s="92" t="n">
        <x:f>I8+E8*12+F8+G8+H8+'路线模块库'!U8*3+V8+ROW()/10000</x:f>
        <x:v>151.0008</x:v>
      </x:c>
      <x:c r="K8" s="92" t="n">
        <x:f>COUNTIFS($B$6:$B$29,B8,$J$6:$J$29,"&gt;"&amp;J8)+1</x:f>
        <x:v>3</x:v>
      </x:c>
      <x:c r="L8" s="92" t="str">
        <x:f>B8&amp;"-"&amp;K8</x:f>
        <x:v>D1-3</x:v>
      </x:c>
      <x:c r="M8" s="92" t="str">
        <x:f>IF(AND(K8&lt;='游客输出器'!$B$11,OR(B8&lt;&gt;"D4",'游客输出器'!$B$4=4)),"输出","不输出")</x:f>
        <x:v>输出</x:v>
      </x:c>
      <x:c r="N8" s="92" t="n">
        <x:f>IF('智能体会话输入'!$C$29&gt;=0.5,ROUND(('路线模块库'!AC8-3)*'智能体会话输入'!$B$29*'智能体会话输入'!$C$29*1.5,0),0)</x:f>
        <x:v>7</x:v>
      </x:c>
      <x:c r="O8" s="92" t="n">
        <x:f>IF('智能体会话输入'!$C$30&gt;=0.5,ROUND(('路线模块库'!AD8-3)*'智能体会话输入'!$B$30*'智能体会话输入'!$C$30*1.5,0),0)</x:f>
        <x:v>0</x:v>
      </x:c>
      <x:c r="P8" s="92" t="n">
        <x:f>IF('智能体会话输入'!$C$31&gt;=0.5,ROUND(('路线模块库'!AE8-3)*'智能体会话输入'!$B$31*'智能体会话输入'!$C$31*1.5,0),0)</x:f>
        <x:v>-5</x:v>
      </x:c>
      <x:c r="Q8" s="92" t="n">
        <x:f>IF('智能体会话输入'!$C$32&gt;=0.5,ROUND(('路线模块库'!AF8-3)*'智能体会话输入'!$B$32*'智能体会话输入'!$C$32*1.5,0),0)</x:f>
        <x:v>0</x:v>
      </x:c>
      <x:c r="R8" s="92" t="n">
        <x:f>IF('智能体会话输入'!$C$33&gt;=0.5,ROUND(('路线模块库'!AG8-3)*'智能体会话输入'!$B$33*'智能体会话输入'!$C$33*1.5,0),0)</x:f>
        <x:v>0</x:v>
      </x:c>
      <x:c r="S8" s="92" t="n">
        <x:f>IF('智能体会话输入'!$C$34&gt;=0.5,ROUND(('路线模块库'!AH8-3)*'智能体会话输入'!$B$34*'智能体会话输入'!$C$34*1.5,0),0)</x:f>
        <x:v>5</x:v>
      </x:c>
      <x:c r="T8" s="92" t="n">
        <x:f>IF('智能体会话输入'!$C$35&gt;=0.5,ROUND(('路线模块库'!AI8-3)*'智能体会话输入'!$B$35*'智能体会话输入'!$C$35*1.5,0),0)</x:f>
        <x:v>0</x:v>
      </x:c>
      <x:c r="U8" s="92" t="n">
        <x:f>IF('智能体会话输入'!$C$36&gt;=0.5,ROUND(('路线模块库'!AJ8-3)*'智能体会话输入'!$B$36*'智能体会话输入'!$C$36*1.5,0),0)</x:f>
        <x:v>-5</x:v>
      </x:c>
      <x:c r="V8" s="92" t="n">
        <x:f>SUM(N8:U8)</x:f>
        <x:v>2</x:v>
      </x:c>
      <x:c r="W8" s="89" t="str">
        <x:f>IF(MAX(N8:U8)&lt;=0,"基础画像",IF(MAX(N8:U8)=N8,"视觉奇观",IF(MAX(N8:U8)=O8,"历史理解",IF(MAX(N8:U8)=P8,"在地生活",IF(MAX(N8:U8)=Q8,"饮食互动",IF(MAX(N8:U8)=R8,"低摩擦",IF(MAX(N8:U8)=S8,"摄影创作",IF(MAX(N8:U8)=T8,"亲子教育","复游新鲜感"))))))))</x:f>
        <x:v>视觉奇观</x:v>
      </x:c>
      <x:c r="X8" s="89" t="str">
        <x:f>IF('路线模块库'!AL8="无","可直接输出","需确认："&amp;'路线模块库'!AL8)</x:f>
        <x:v>需确认：步行与江岸可达性</x:v>
      </x:c>
    </x:row>
    <x:row r="9" ht="38" customHeight="1">
      <x:c r="A9" s="89" t="str">
        <x:f>'路线模块库'!A9</x:f>
        <x:v>RM04</x:v>
      </x:c>
      <x:c r="B9" s="89" t="str">
        <x:f>'路线模块库'!B9</x:f>
        <x:v>D1</x:v>
      </x:c>
      <x:c r="C9" s="89" t="str">
        <x:f>'路线模块库'!D9</x:f>
        <x:v>夜景读图：不挤进洪崖洞</x:v>
      </x:c>
      <x:c r="D9" s="89" t="str">
        <x:f>'路线模块库'!E9</x:f>
        <x:v>引流钩子</x:v>
      </x:c>
      <x:c r="E9" s="92" t="n">
        <x:f>IF('游客输出器'!$B$5="首次经典",'路线模块库'!O9,IF('游客输出器'!$B$5="赛博摄影",'路线模块库'!P9,IF('游客输出器'!$B$5="文化历史",'路线模块库'!Q9,IF('游客输出器'!$B$5="美食生活",'路线模块库'!R9,IF('游客输出器'!$B$5="亲子轻松",'路线模块库'!S9,'路线模块库'!T9)))))</x:f>
        <x:v>5</x:v>
      </x:c>
      <x:c r="F9" s="92" t="n">
        <x:f>IF('游客输出器'!$B$6="低",IF('路线模块库'!L9=3,-120,IF(AND('路线模块库'!L9=2,'路线模块库'!K9&gt;120),-30,IF('路线模块库'!L9=2,-15,0))),IF('游客输出器'!$B$6="中",IF('路线模块库'!L9=3,-12,0),0))</x:f>
        <x:v>-30</x:v>
      </x:c>
      <x:c r="G9" s="92" t="n">
        <x:f>IF('游客输出器'!$B$7="雨天",('路线模块库'!M9-3)*15,IF('游客输出器'!$B$7="炎热",('路线模块库'!N9-3)*12,0))</x:f>
        <x:v>0</x:v>
      </x:c>
      <x:c r="H9" s="92" t="n">
        <x:f>IF(B9="D4",IF('游客输出器'!$B$4&lt;4,-100,IF('路线模块库'!C9='游客输出器'!$B$8,20,-60)),IF(VALUE(RIGHT(B9,1))&lt;='游客输出器'!$B$4,0,-100))</x:f>
        <x:v>0</x:v>
      </x:c>
      <x:c r="I9" s="92" t="n">
        <x:f>'路线模块库'!V9</x:f>
        <x:v>100</x:v>
      </x:c>
      <x:c r="J9" s="92" t="n">
        <x:f>I9+E9*12+F9+G9+H9+'路线模块库'!U9*3+V9+ROW()/10000</x:f>
        <x:v>155.0009</x:v>
      </x:c>
      <x:c r="K9" s="92" t="n">
        <x:f>COUNTIFS($B$6:$B$29,B9,$J$6:$J$29,"&gt;"&amp;J9)+1</x:f>
        <x:v>2</x:v>
      </x:c>
      <x:c r="L9" s="92" t="str">
        <x:f>B9&amp;"-"&amp;K9</x:f>
        <x:v>D1-2</x:v>
      </x:c>
      <x:c r="M9" s="92" t="str">
        <x:f>IF(AND(K9&lt;='游客输出器'!$B$11,OR(B9&lt;&gt;"D4",'游客输出器'!$B$4=4)),"输出","不输出")</x:f>
        <x:v>输出</x:v>
      </x:c>
      <x:c r="N9" s="92" t="n">
        <x:f>IF('智能体会话输入'!$C$29&gt;=0.5,ROUND(('路线模块库'!AC9-3)*'智能体会话输入'!$B$29*'智能体会话输入'!$C$29*1.5,0),0)</x:f>
        <x:v>14</x:v>
      </x:c>
      <x:c r="O9" s="92" t="n">
        <x:f>IF('智能体会话输入'!$C$30&gt;=0.5,ROUND(('路线模块库'!AD9-3)*'智能体会话输入'!$B$30*'智能体会话输入'!$C$30*1.5,0),0)</x:f>
        <x:v>0</x:v>
      </x:c>
      <x:c r="P9" s="92" t="n">
        <x:f>IF('智能体会话输入'!$C$31&gt;=0.5,ROUND(('路线模块库'!AE9-3)*'智能体会话输入'!$B$31*'智能体会话输入'!$C$31*1.5,0),0)</x:f>
        <x:v>-10</x:v>
      </x:c>
      <x:c r="Q9" s="92" t="n">
        <x:f>IF('智能体会话输入'!$C$32&gt;=0.5,ROUND(('路线模块库'!AF9-3)*'智能体会话输入'!$B$32*'智能体会话输入'!$C$32*1.5,0),0)</x:f>
        <x:v>0</x:v>
      </x:c>
      <x:c r="R9" s="92" t="n">
        <x:f>IF('智能体会话输入'!$C$33&gt;=0.5,ROUND(('路线模块库'!AG9-3)*'智能体会话输入'!$B$33*'智能体会话输入'!$C$33*1.5,0),0)</x:f>
        <x:v>0</x:v>
      </x:c>
      <x:c r="S9" s="92" t="n">
        <x:f>IF('智能体会话输入'!$C$34&gt;=0.5,ROUND(('路线模块库'!AH9-3)*'智能体会话输入'!$B$34*'智能体会话输入'!$C$34*1.5,0),0)</x:f>
        <x:v>11</x:v>
      </x:c>
      <x:c r="T9" s="92" t="n">
        <x:f>IF('智能体会话输入'!$C$35&gt;=0.5,ROUND(('路线模块库'!AI9-3)*'智能体会话输入'!$B$35*'智能体会话输入'!$C$35*1.5,0),0)</x:f>
        <x:v>0</x:v>
      </x:c>
      <x:c r="U9" s="92" t="n">
        <x:f>IF('智能体会话输入'!$C$36&gt;=0.5,ROUND(('路线模块库'!AJ9-3)*'智能体会话输入'!$B$36*'智能体会话输入'!$C$36*1.5,0),0)</x:f>
        <x:v>-5</x:v>
      </x:c>
      <x:c r="V9" s="92" t="n">
        <x:f>SUM(N9:U9)</x:f>
        <x:v>10</x:v>
      </x:c>
      <x:c r="W9" s="89" t="str">
        <x:f>IF(MAX(N9:U9)&lt;=0,"基础画像",IF(MAX(N9:U9)=N9,"视觉奇观",IF(MAX(N9:U9)=O9,"历史理解",IF(MAX(N9:U9)=P9,"在地生活",IF(MAX(N9:U9)=Q9,"饮食互动",IF(MAX(N9:U9)=R9,"低摩擦",IF(MAX(N9:U9)=S9,"摄影创作",IF(MAX(N9:U9)=T9,"亲子教育","复游新鲜感"))))))))</x:f>
        <x:v>视觉奇观</x:v>
      </x:c>
      <x:c r="X9" s="89" t="str">
        <x:f>IF('路线模块库'!AL9="无","可直接输出","需确认："&amp;'路线模块库'!AL9)</x:f>
        <x:v>需确认：夜间结束时间|是否接受人流</x:v>
      </x:c>
    </x:row>
    <x:row r="10" ht="38" customHeight="1">
      <x:c r="A10" s="89" t="str">
        <x:f>'路线模块库'!A10</x:f>
        <x:v>RM05</x:v>
      </x:c>
      <x:c r="B10" s="89" t="str">
        <x:f>'路线模块库'!B10</x:f>
        <x:v>D1</x:v>
      </x:c>
      <x:c r="C10" s="89" t="str">
        <x:f>'路线模块库'!D10</x:f>
        <x:v>索道或两江游低体力替代</x:v>
      </x:c>
      <x:c r="D10" s="89" t="str">
        <x:f>'路线模块库'!E10</x:f>
        <x:v>条件体验</x:v>
      </x:c>
      <x:c r="E10" s="92" t="n">
        <x:f>IF('游客输出器'!$B$5="首次经典",'路线模块库'!O10,IF('游客输出器'!$B$5="赛博摄影",'路线模块库'!P10,IF('游客输出器'!$B$5="文化历史",'路线模块库'!Q10,IF('游客输出器'!$B$5="美食生活",'路线模块库'!R10,IF('游客输出器'!$B$5="亲子轻松",'路线模块库'!S10,'路线模块库'!T10)))))</x:f>
        <x:v>3</x:v>
      </x:c>
      <x:c r="F10" s="92" t="n">
        <x:f>IF('游客输出器'!$B$6="低",IF('路线模块库'!L10=3,-120,IF(AND('路线模块库'!L10=2,'路线模块库'!K10&gt;120),-30,IF('路线模块库'!L10=2,-15,0))),IF('游客输出器'!$B$6="中",IF('路线模块库'!L10=3,-12,0),0))</x:f>
        <x:v>0</x:v>
      </x:c>
      <x:c r="G10" s="92" t="n">
        <x:f>IF('游客输出器'!$B$7="雨天",('路线模块库'!M10-3)*15,IF('游客输出器'!$B$7="炎热",('路线模块库'!N10-3)*12,0))</x:f>
        <x:v>0</x:v>
      </x:c>
      <x:c r="H10" s="92" t="n">
        <x:f>IF(B10="D4",IF('游客输出器'!$B$4&lt;4,-100,IF('路线模块库'!C10='游客输出器'!$B$8,20,-60)),IF(VALUE(RIGHT(B10,1))&lt;='游客输出器'!$B$4,0,-100))</x:f>
        <x:v>0</x:v>
      </x:c>
      <x:c r="I10" s="92" t="n">
        <x:f>'路线模块库'!V10</x:f>
        <x:v>58</x:v>
      </x:c>
      <x:c r="J10" s="92" t="n">
        <x:f>I10+E10*12+F10+G10+H10+'路线模块库'!U10*3+V10+ROW()/10000</x:f>
        <x:v>109.001</x:v>
      </x:c>
      <x:c r="K10" s="92" t="n">
        <x:f>COUNTIFS($B$6:$B$29,B10,$J$6:$J$29,"&gt;"&amp;J10)+1</x:f>
        <x:v>5</x:v>
      </x:c>
      <x:c r="L10" s="92" t="str">
        <x:f>B10&amp;"-"&amp;K10</x:f>
        <x:v>D1-5</x:v>
      </x:c>
      <x:c r="M10" s="92" t="str">
        <x:f>IF(AND(K10&lt;='游客输出器'!$B$11,OR(B10&lt;&gt;"D4",'游客输出器'!$B$4=4)),"输出","不输出")</x:f>
        <x:v>不输出</x:v>
      </x:c>
      <x:c r="N10" s="92" t="n">
        <x:f>IF('智能体会话输入'!$C$29&gt;=0.5,ROUND(('路线模块库'!AC10-3)*'智能体会话输入'!$B$29*'智能体会话输入'!$C$29*1.5,0),0)</x:f>
        <x:v>7</x:v>
      </x:c>
      <x:c r="O10" s="92" t="n">
        <x:f>IF('智能体会话输入'!$C$30&gt;=0.5,ROUND(('路线模块库'!AD10-3)*'智能体会话输入'!$B$30*'智能体会话输入'!$C$30*1.5,0),0)</x:f>
        <x:v>0</x:v>
      </x:c>
      <x:c r="P10" s="92" t="n">
        <x:f>IF('智能体会话输入'!$C$31&gt;=0.5,ROUND(('路线模块库'!AE10-3)*'智能体会话输入'!$B$31*'智能体会话输入'!$C$31*1.5,0),0)</x:f>
        <x:v>-10</x:v>
      </x:c>
      <x:c r="Q10" s="92" t="n">
        <x:f>IF('智能体会话输入'!$C$32&gt;=0.5,ROUND(('路线模块库'!AF10-3)*'智能体会话输入'!$B$32*'智能体会话输入'!$C$32*1.5,0),0)</x:f>
        <x:v>0</x:v>
      </x:c>
      <x:c r="R10" s="92" t="n">
        <x:f>IF('智能体会话输入'!$C$33&gt;=0.5,ROUND(('路线模块库'!AG10-3)*'智能体会话输入'!$B$33*'智能体会话输入'!$C$33*1.5,0),0)</x:f>
        <x:v>11</x:v>
      </x:c>
      <x:c r="S10" s="92" t="n">
        <x:f>IF('智能体会话输入'!$C$34&gt;=0.5,ROUND(('路线模块库'!AH10-3)*'智能体会话输入'!$B$34*'智能体会话输入'!$C$34*1.5,0),0)</x:f>
        <x:v>5</x:v>
      </x:c>
      <x:c r="T10" s="92" t="n">
        <x:f>IF('智能体会话输入'!$C$35&gt;=0.5,ROUND(('路线模块库'!AI10-3)*'智能体会话输入'!$B$35*'智能体会话输入'!$C$35*1.5,0),0)</x:f>
        <x:v>0</x:v>
      </x:c>
      <x:c r="U10" s="92" t="n">
        <x:f>IF('智能体会话输入'!$C$36&gt;=0.5,ROUND(('路线模块库'!AJ10-3)*'智能体会话输入'!$B$36*'智能体会话输入'!$C$36*1.5,0),0)</x:f>
        <x:v>-10</x:v>
      </x:c>
      <x:c r="V10" s="92" t="n">
        <x:f>SUM(N10:U10)</x:f>
        <x:v>3</x:v>
      </x:c>
      <x:c r="W10" s="89" t="str">
        <x:f>IF(MAX(N10:U10)&lt;=0,"基础画像",IF(MAX(N10:U10)=N10,"视觉奇观",IF(MAX(N10:U10)=O10,"历史理解",IF(MAX(N10:U10)=P10,"在地生活",IF(MAX(N10:U10)=Q10,"饮食互动",IF(MAX(N10:U10)=R10,"低摩擦",IF(MAX(N10:U10)=S10,"摄影创作",IF(MAX(N10:U10)=T10,"亲子教育","复游新鲜感"))))))))</x:f>
        <x:v>低摩擦</x:v>
      </x:c>
      <x:c r="X10" s="89" t="str">
        <x:f>IF('路线模块库'!AL10="无","可直接输出","需确认："&amp;'路线模块库'!AL10)</x:f>
        <x:v>需确认：排队容忍度|恐高</x:v>
      </x:c>
    </x:row>
    <x:row r="11" ht="38" customHeight="1">
      <x:c r="A11" s="89" t="str">
        <x:f>'路线模块库'!A11</x:f>
        <x:v>RM06</x:v>
      </x:c>
      <x:c r="B11" s="89" t="str">
        <x:f>'路线模块库'!B11</x:f>
        <x:v>D1</x:v>
      </x:c>
      <x:c r="C11" s="89" t="str">
        <x:f>'路线模块库'!D11</x:f>
        <x:v>本地年轻夜生活</x:v>
      </x:c>
      <x:c r="D11" s="89" t="str">
        <x:f>'路线模块库'!E11</x:f>
        <x:v>真实生活</x:v>
      </x:c>
      <x:c r="E11" s="92" t="n">
        <x:f>IF('游客输出器'!$B$5="首次经典",'路线模块库'!O11,IF('游客输出器'!$B$5="赛博摄影",'路线模块库'!P11,IF('游客输出器'!$B$5="文化历史",'路线模块库'!Q11,IF('游客输出器'!$B$5="美食生活",'路线模块库'!R11,IF('游客输出器'!$B$5="亲子轻松",'路线模块库'!S11,'路线模块库'!T11)))))</x:f>
        <x:v>2</x:v>
      </x:c>
      <x:c r="F11" s="92" t="n">
        <x:f>IF('游客输出器'!$B$6="低",IF('路线模块库'!L11=3,-120,IF(AND('路线模块库'!L11=2,'路线模块库'!K11&gt;120),-30,IF('路线模块库'!L11=2,-15,0))),IF('游客输出器'!$B$6="中",IF('路线模块库'!L11=3,-12,0),0))</x:f>
        <x:v>0</x:v>
      </x:c>
      <x:c r="G11" s="92" t="n">
        <x:f>IF('游客输出器'!$B$7="雨天",('路线模块库'!M11-3)*15,IF('游客输出器'!$B$7="炎热",('路线模块库'!N11-3)*12,0))</x:f>
        <x:v>0</x:v>
      </x:c>
      <x:c r="H11" s="92" t="n">
        <x:f>IF(B11="D4",IF('游客输出器'!$B$4&lt;4,-100,IF('路线模块库'!C11='游客输出器'!$B$8,20,-60)),IF(VALUE(RIGHT(B11,1))&lt;='游客输出器'!$B$4,0,-100))</x:f>
        <x:v>0</x:v>
      </x:c>
      <x:c r="I11" s="92" t="n">
        <x:f>'路线模块库'!V11</x:f>
        <x:v>52</x:v>
      </x:c>
      <x:c r="J11" s="92" t="n">
        <x:f>I11+E11*12+F11+G11+H11+'路线模块库'!U11*3+V11+ROW()/10000</x:f>
        <x:v>104.0011</x:v>
      </x:c>
      <x:c r="K11" s="92" t="n">
        <x:f>COUNTIFS($B$6:$B$29,B11,$J$6:$J$29,"&gt;"&amp;J11)+1</x:f>
        <x:v>6</x:v>
      </x:c>
      <x:c r="L11" s="92" t="str">
        <x:f>B11&amp;"-"&amp;K11</x:f>
        <x:v>D1-6</x:v>
      </x:c>
      <x:c r="M11" s="92" t="str">
        <x:f>IF(AND(K11&lt;='游客输出器'!$B$11,OR(B11&lt;&gt;"D4",'游客输出器'!$B$4=4)),"输出","不输出")</x:f>
        <x:v>不输出</x:v>
      </x:c>
      <x:c r="N11" s="92" t="n">
        <x:f>IF('智能体会话输入'!$C$29&gt;=0.5,ROUND(('路线模块库'!AC11-3)*'智能体会话输入'!$B$29*'智能体会话输入'!$C$29*1.5,0),0)</x:f>
        <x:v>-7</x:v>
      </x:c>
      <x:c r="O11" s="92" t="n">
        <x:f>IF('智能体会话输入'!$C$30&gt;=0.5,ROUND(('路线模块库'!AD11-3)*'智能体会话输入'!$B$30*'智能体会话输入'!$C$30*1.5,0),0)</x:f>
        <x:v>0</x:v>
      </x:c>
      <x:c r="P11" s="92" t="n">
        <x:f>IF('智能体会话输入'!$C$31&gt;=0.5,ROUND(('路线模块库'!AE11-3)*'智能体会话输入'!$B$31*'智能体会话输入'!$C$31*1.5,0),0)</x:f>
        <x:v>10</x:v>
      </x:c>
      <x:c r="Q11" s="92" t="n">
        <x:f>IF('智能体会话输入'!$C$32&gt;=0.5,ROUND(('路线模块库'!AF11-3)*'智能体会话输入'!$B$32*'智能体会话输入'!$C$32*1.5,0),0)</x:f>
        <x:v>0</x:v>
      </x:c>
      <x:c r="R11" s="92" t="n">
        <x:f>IF('智能体会话输入'!$C$33&gt;=0.5,ROUND(('路线模块库'!AG11-3)*'智能体会话输入'!$B$33*'智能体会话输入'!$C$33*1.5,0),0)</x:f>
        <x:v>6</x:v>
      </x:c>
      <x:c r="S11" s="92" t="n">
        <x:f>IF('智能体会话输入'!$C$34&gt;=0.5,ROUND(('路线模块库'!AH11-3)*'智能体会话输入'!$B$34*'智能体会话输入'!$C$34*1.5,0),0)</x:f>
        <x:v>0</x:v>
      </x:c>
      <x:c r="T11" s="92" t="n">
        <x:f>IF('智能体会话输入'!$C$35&gt;=0.5,ROUND(('路线模块库'!AI11-3)*'智能体会话输入'!$B$35*'智能体会话输入'!$C$35*1.5,0),0)</x:f>
        <x:v>0</x:v>
      </x:c>
      <x:c r="U11" s="92" t="n">
        <x:f>IF('智能体会话输入'!$C$36&gt;=0.5,ROUND(('路线模块库'!AJ11-3)*'智能体会话输入'!$B$36*'智能体会话输入'!$C$36*1.5,0),0)</x:f>
        <x:v>10</x:v>
      </x:c>
      <x:c r="V11" s="92" t="n">
        <x:f>SUM(N11:U11)</x:f>
        <x:v>19</x:v>
      </x:c>
      <x:c r="W11" s="89" t="str">
        <x:f>IF(MAX(N11:U11)&lt;=0,"基础画像",IF(MAX(N11:U11)=N11,"视觉奇观",IF(MAX(N11:U11)=O11,"历史理解",IF(MAX(N11:U11)=P11,"在地生活",IF(MAX(N11:U11)=Q11,"饮食互动",IF(MAX(N11:U11)=R11,"低摩擦",IF(MAX(N11:U11)=S11,"摄影创作",IF(MAX(N11:U11)=T11,"亲子教育","复游新鲜感"))))))))</x:f>
        <x:v>在地生活</x:v>
      </x:c>
      <x:c r="X11" s="89" t="str">
        <x:f>IF('路线模块库'!AL11="无","可直接输出","需确认："&amp;'路线模块库'!AL11)</x:f>
        <x:v>需确认：夜间安全边界|饮酒偏好</x:v>
      </x:c>
    </x:row>
    <x:row r="12" ht="38" customHeight="1">
      <x:c r="A12" s="89" t="str">
        <x:f>'路线模块库'!A12</x:f>
        <x:v>RM07</x:v>
      </x:c>
      <x:c r="B12" s="89" t="str">
        <x:f>'路线模块库'!B12</x:f>
        <x:v>D2</x:v>
      </x:c>
      <x:c r="C12" s="89" t="str">
        <x:f>'路线模块库'!D12</x:f>
        <x:v>移民母城与水路城门</x:v>
      </x:c>
      <x:c r="D12" s="89" t="str">
        <x:f>'路线模块库'!E12</x:f>
        <x:v>核心解释</x:v>
      </x:c>
      <x:c r="E12" s="92" t="n">
        <x:f>IF('游客输出器'!$B$5="首次经典",'路线模块库'!O12,IF('游客输出器'!$B$5="赛博摄影",'路线模块库'!P12,IF('游客输出器'!$B$5="文化历史",'路线模块库'!Q12,IF('游客输出器'!$B$5="美食生活",'路线模块库'!R12,IF('游客输出器'!$B$5="亲子轻松",'路线模块库'!S12,'路线模块库'!T12)))))</x:f>
        <x:v>5</x:v>
      </x:c>
      <x:c r="F12" s="92" t="n">
        <x:f>IF('游客输出器'!$B$6="低",IF('路线模块库'!L12=3,-120,IF(AND('路线模块库'!L12=2,'路线模块库'!K12&gt;120),-30,IF('路线模块库'!L12=2,-15,0))),IF('游客输出器'!$B$6="中",IF('路线模块库'!L12=3,-12,0),0))</x:f>
        <x:v>-30</x:v>
      </x:c>
      <x:c r="G12" s="92" t="n">
        <x:f>IF('游客输出器'!$B$7="雨天",('路线模块库'!M12-3)*15,IF('游客输出器'!$B$7="炎热",('路线模块库'!N12-3)*12,0))</x:f>
        <x:v>0</x:v>
      </x:c>
      <x:c r="H12" s="92" t="n">
        <x:f>IF(B12="D4",IF('游客输出器'!$B$4&lt;4,-100,IF('路线模块库'!C12='游客输出器'!$B$8,20,-60)),IF(VALUE(RIGHT(B12,1))&lt;='游客输出器'!$B$4,0,-100))</x:f>
        <x:v>0</x:v>
      </x:c>
      <x:c r="I12" s="92" t="n">
        <x:f>'路线模块库'!V12</x:f>
        <x:v>96</x:v>
      </x:c>
      <x:c r="J12" s="92" t="n">
        <x:f>I12+E12*12+F12+G12+H12+'路线模块库'!U12*3+V12+ROW()/10000</x:f>
        <x:v>146.0012</x:v>
      </x:c>
      <x:c r="K12" s="92" t="n">
        <x:f>COUNTIFS($B$6:$B$29,B12,$J$6:$J$29,"&gt;"&amp;J12)+1</x:f>
        <x:v>2</x:v>
      </x:c>
      <x:c r="L12" s="92" t="str">
        <x:f>B12&amp;"-"&amp;K12</x:f>
        <x:v>D2-2</x:v>
      </x:c>
      <x:c r="M12" s="92" t="str">
        <x:f>IF(AND(K12&lt;='游客输出器'!$B$11,OR(B12&lt;&gt;"D4",'游客输出器'!$B$4=4)),"输出","不输出")</x:f>
        <x:v>输出</x:v>
      </x:c>
      <x:c r="N12" s="92" t="n">
        <x:f>IF('智能体会话输入'!$C$29&gt;=0.5,ROUND(('路线模块库'!AC12-3)*'智能体会话输入'!$B$29*'智能体会话输入'!$C$29*1.5,0),0)</x:f>
        <x:v>0</x:v>
      </x:c>
      <x:c r="O12" s="92" t="n">
        <x:f>IF('智能体会话输入'!$C$30&gt;=0.5,ROUND(('路线模块库'!AD12-3)*'智能体会话输入'!$B$30*'智能体会话输入'!$C$30*1.5,0),0)</x:f>
        <x:v>0</x:v>
      </x:c>
      <x:c r="P12" s="92" t="n">
        <x:f>IF('智能体会话输入'!$C$31&gt;=0.5,ROUND(('路线模块库'!AE12-3)*'智能体会话输入'!$B$31*'智能体会话输入'!$C$31*1.5,0),0)</x:f>
        <x:v>0</x:v>
      </x:c>
      <x:c r="Q12" s="92" t="n">
        <x:f>IF('智能体会话输入'!$C$32&gt;=0.5,ROUND(('路线模块库'!AF12-3)*'智能体会话输入'!$B$32*'智能体会话输入'!$C$32*1.5,0),0)</x:f>
        <x:v>0</x:v>
      </x:c>
      <x:c r="R12" s="92" t="n">
        <x:f>IF('智能体会话输入'!$C$33&gt;=0.5,ROUND(('路线模块库'!AG12-3)*'智能体会话输入'!$B$33*'智能体会话输入'!$C$33*1.5,0),0)</x:f>
        <x:v>0</x:v>
      </x:c>
      <x:c r="S12" s="92" t="n">
        <x:f>IF('智能体会话输入'!$C$34&gt;=0.5,ROUND(('路线模块库'!AH12-3)*'智能体会话输入'!$B$34*'智能体会话输入'!$C$34*1.5,0),0)</x:f>
        <x:v>0</x:v>
      </x:c>
      <x:c r="T12" s="92" t="n">
        <x:f>IF('智能体会话输入'!$C$35&gt;=0.5,ROUND(('路线模块库'!AI12-3)*'智能体会话输入'!$B$35*'智能体会话输入'!$C$35*1.5,0),0)</x:f>
        <x:v>0</x:v>
      </x:c>
      <x:c r="U12" s="92" t="n">
        <x:f>IF('智能体会话输入'!$C$36&gt;=0.5,ROUND(('路线模块库'!AJ12-3)*'智能体会话输入'!$B$36*'智能体会话输入'!$C$36*1.5,0),0)</x:f>
        <x:v>5</x:v>
      </x:c>
      <x:c r="V12" s="92" t="n">
        <x:f>SUM(N12:U12)</x:f>
        <x:v>5</x:v>
      </x:c>
      <x:c r="W12" s="89" t="str">
        <x:f>IF(MAX(N12:U12)&lt;=0,"基础画像",IF(MAX(N12:U12)=N12,"视觉奇观",IF(MAX(N12:U12)=O12,"历史理解",IF(MAX(N12:U12)=P12,"在地生活",IF(MAX(N12:U12)=Q12,"饮食互动",IF(MAX(N12:U12)=R12,"低摩擦",IF(MAX(N12:U12)=S12,"摄影创作",IF(MAX(N12:U12)=T12,"亲子教育","复游新鲜感"))))))))</x:f>
        <x:v>复游新鲜感</x:v>
      </x:c>
      <x:c r="X12" s="89" t="str">
        <x:f>IF('路线模块库'!AL12="无","可直接输出","需确认："&amp;'路线模块库'!AL12)</x:f>
        <x:v>需确认：历史兴趣深度|场馆开放</x:v>
      </x:c>
    </x:row>
    <x:row r="13" ht="38" customHeight="1">
      <x:c r="A13" s="89" t="str">
        <x:f>'路线模块库'!A13</x:f>
        <x:v>RM08</x:v>
      </x:c>
      <x:c r="B13" s="89" t="str">
        <x:f>'路线模块库'!B13</x:f>
        <x:v>D2</x:v>
      </x:c>
      <x:c r="C13" s="89" t="str">
        <x:f>'路线模块库'!D13</x:f>
        <x:v>下半城贸易与金融</x:v>
      </x:c>
      <x:c r="D13" s="89" t="str">
        <x:f>'路线模块库'!E13</x:f>
        <x:v>核心解释</x:v>
      </x:c>
      <x:c r="E13" s="92" t="n">
        <x:f>IF('游客输出器'!$B$5="首次经典",'路线模块库'!O13,IF('游客输出器'!$B$5="赛博摄影",'路线模块库'!P13,IF('游客输出器'!$B$5="文化历史",'路线模块库'!Q13,IF('游客输出器'!$B$5="美食生活",'路线模块库'!R13,IF('游客输出器'!$B$5="亲子轻松",'路线模块库'!S13,'路线模块库'!T13)))))</x:f>
        <x:v>3</x:v>
      </x:c>
      <x:c r="F13" s="92" t="n">
        <x:f>IF('游客输出器'!$B$6="低",IF('路线模块库'!L13=3,-120,IF(AND('路线模块库'!L13=2,'路线模块库'!K13&gt;120),-30,IF('路线模块库'!L13=2,-15,0))),IF('游客输出器'!$B$6="中",IF('路线模块库'!L13=3,-12,0),0))</x:f>
        <x:v>0</x:v>
      </x:c>
      <x:c r="G13" s="92" t="n">
        <x:f>IF('游客输出器'!$B$7="雨天",('路线模块库'!M13-3)*15,IF('游客输出器'!$B$7="炎热",('路线模块库'!N13-3)*12,0))</x:f>
        <x:v>0</x:v>
      </x:c>
      <x:c r="H13" s="92" t="n">
        <x:f>IF(B13="D4",IF('游客输出器'!$B$4&lt;4,-100,IF('路线模块库'!C13='游客输出器'!$B$8,20,-60)),IF(VALUE(RIGHT(B13,1))&lt;='游客输出器'!$B$4,0,-100))</x:f>
        <x:v>0</x:v>
      </x:c>
      <x:c r="I13" s="92" t="n">
        <x:f>'路线模块库'!V13</x:f>
        <x:v>68</x:v>
      </x:c>
      <x:c r="J13" s="92" t="n">
        <x:f>I13+E13*12+F13+G13+H13+'路线模块库'!U13*3+V13+ROW()/10000</x:f>
        <x:v>126.0013</x:v>
      </x:c>
      <x:c r="K13" s="92" t="n">
        <x:f>COUNTIFS($B$6:$B$29,B13,$J$6:$J$29,"&gt;"&amp;J13)+1</x:f>
        <x:v>3</x:v>
      </x:c>
      <x:c r="L13" s="92" t="str">
        <x:f>B13&amp;"-"&amp;K13</x:f>
        <x:v>D2-3</x:v>
      </x:c>
      <x:c r="M13" s="92" t="str">
        <x:f>IF(AND(K13&lt;='游客输出器'!$B$11,OR(B13&lt;&gt;"D4",'游客输出器'!$B$4=4)),"输出","不输出")</x:f>
        <x:v>输出</x:v>
      </x:c>
      <x:c r="N13" s="92" t="n">
        <x:f>IF('智能体会话输入'!$C$29&gt;=0.5,ROUND(('路线模块库'!AC13-3)*'智能体会话输入'!$B$29*'智能体会话输入'!$C$29*1.5,0),0)</x:f>
        <x:v>0</x:v>
      </x:c>
      <x:c r="O13" s="92" t="n">
        <x:f>IF('智能体会话输入'!$C$30&gt;=0.5,ROUND(('路线模块库'!AD13-3)*'智能体会话输入'!$B$30*'智能体会话输入'!$C$30*1.5,0),0)</x:f>
        <x:v>0</x:v>
      </x:c>
      <x:c r="P13" s="92" t="n">
        <x:f>IF('智能体会话输入'!$C$31&gt;=0.5,ROUND(('路线模块库'!AE13-3)*'智能体会话输入'!$B$31*'智能体会话输入'!$C$31*1.5,0),0)</x:f>
        <x:v>0</x:v>
      </x:c>
      <x:c r="Q13" s="92" t="n">
        <x:f>IF('智能体会话输入'!$C$32&gt;=0.5,ROUND(('路线模块库'!AF13-3)*'智能体会话输入'!$B$32*'智能体会话输入'!$C$32*1.5,0),0)</x:f>
        <x:v>0</x:v>
      </x:c>
      <x:c r="R13" s="92" t="n">
        <x:f>IF('智能体会话输入'!$C$33&gt;=0.5,ROUND(('路线模块库'!AG13-3)*'智能体会话输入'!$B$33*'智能体会话输入'!$C$33*1.5,0),0)</x:f>
        <x:v>0</x:v>
      </x:c>
      <x:c r="S13" s="92" t="n">
        <x:f>IF('智能体会话输入'!$C$34&gt;=0.5,ROUND(('路线模块库'!AH13-3)*'智能体会话输入'!$B$34*'智能体会话输入'!$C$34*1.5,0),0)</x:f>
        <x:v>0</x:v>
      </x:c>
      <x:c r="T13" s="92" t="n">
        <x:f>IF('智能体会话输入'!$C$35&gt;=0.5,ROUND(('路线模块库'!AI13-3)*'智能体会话输入'!$B$35*'智能体会话输入'!$C$35*1.5,0),0)</x:f>
        <x:v>0</x:v>
      </x:c>
      <x:c r="U13" s="92" t="n">
        <x:f>IF('智能体会话输入'!$C$36&gt;=0.5,ROUND(('路线模块库'!AJ13-3)*'智能体会话输入'!$B$36*'智能体会话输入'!$C$36*1.5,0),0)</x:f>
        <x:v>10</x:v>
      </x:c>
      <x:c r="V13" s="92" t="n">
        <x:f>SUM(N13:U13)</x:f>
        <x:v>10</x:v>
      </x:c>
      <x:c r="W13" s="89" t="str">
        <x:f>IF(MAX(N13:U13)&lt;=0,"基础画像",IF(MAX(N13:U13)=N13,"视觉奇观",IF(MAX(N13:U13)=O13,"历史理解",IF(MAX(N13:U13)=P13,"在地生活",IF(MAX(N13:U13)=Q13,"饮食互动",IF(MAX(N13:U13)=R13,"低摩擦",IF(MAX(N13:U13)=S13,"摄影创作",IF(MAX(N13:U13)=T13,"亲子教育","复游新鲜感"))))))))</x:f>
        <x:v>复游新鲜感</x:v>
      </x:c>
      <x:c r="X13" s="89" t="str">
        <x:f>IF('路线模块库'!AL13="无","可直接输出","需确认："&amp;'路线模块库'!AL13)</x:f>
        <x:v>需确认：是否已看过经典点</x:v>
      </x:c>
    </x:row>
    <x:row r="14" ht="38" customHeight="1">
      <x:c r="A14" s="89" t="str">
        <x:f>'路线模块库'!A14</x:f>
        <x:v>RM09</x:v>
      </x:c>
      <x:c r="B14" s="89" t="str">
        <x:f>'路线模块库'!B14</x:f>
        <x:v>D2</x:v>
      </x:c>
      <x:c r="C14" s="89" t="str">
        <x:f>'路线模块库'!D14</x:f>
        <x:v>住宅与公共边界</x:v>
      </x:c>
      <x:c r="D14" s="89" t="str">
        <x:f>'路线模块库'!E14</x:f>
        <x:v>真实生活</x:v>
      </x:c>
      <x:c r="E14" s="92" t="n">
        <x:f>IF('游客输出器'!$B$5="首次经典",'路线模块库'!O14,IF('游客输出器'!$B$5="赛博摄影",'路线模块库'!P14,IF('游客输出器'!$B$5="文化历史",'路线模块库'!Q14,IF('游客输出器'!$B$5="美食生活",'路线模块库'!R14,IF('游客输出器'!$B$5="亲子轻松",'路线模块库'!S14,'路线模块库'!T14)))))</x:f>
        <x:v>2</x:v>
      </x:c>
      <x:c r="F14" s="92" t="n">
        <x:f>IF('游客输出器'!$B$6="低",IF('路线模块库'!L14=3,-120,IF(AND('路线模块库'!L14=2,'路线模块库'!K14&gt;120),-30,IF('路线模块库'!L14=2,-15,0))),IF('游客输出器'!$B$6="中",IF('路线模块库'!L14=3,-12,0),0))</x:f>
        <x:v>-15</x:v>
      </x:c>
      <x:c r="G14" s="92" t="n">
        <x:f>IF('游客输出器'!$B$7="雨天",('路线模块库'!M14-3)*15,IF('游客输出器'!$B$7="炎热",('路线模块库'!N14-3)*12,0))</x:f>
        <x:v>0</x:v>
      </x:c>
      <x:c r="H14" s="92" t="n">
        <x:f>IF(B14="D4",IF('游客输出器'!$B$4&lt;4,-100,IF('路线模块库'!C14='游客输出器'!$B$8,20,-60)),IF(VALUE(RIGHT(B14,1))&lt;='游客输出器'!$B$4,0,-100))</x:f>
        <x:v>0</x:v>
      </x:c>
      <x:c r="I14" s="92" t="n">
        <x:f>'路线模块库'!V14</x:f>
        <x:v>38</x:v>
      </x:c>
      <x:c r="J14" s="92" t="n">
        <x:f>I14+E14*12+F14+G14+H14+'路线模块库'!U14*3+V14+ROW()/10000</x:f>
        <x:v>63.0014</x:v>
      </x:c>
      <x:c r="K14" s="92" t="n">
        <x:f>COUNTIFS($B$6:$B$29,B14,$J$6:$J$29,"&gt;"&amp;J14)+1</x:f>
        <x:v>6</x:v>
      </x:c>
      <x:c r="L14" s="92" t="str">
        <x:f>B14&amp;"-"&amp;K14</x:f>
        <x:v>D2-6</x:v>
      </x:c>
      <x:c r="M14" s="92" t="str">
        <x:f>IF(AND(K14&lt;='游客输出器'!$B$11,OR(B14&lt;&gt;"D4",'游客输出器'!$B$4=4)),"输出","不输出")</x:f>
        <x:v>不输出</x:v>
      </x:c>
      <x:c r="N14" s="92" t="n">
        <x:f>IF('智能体会话输入'!$C$29&gt;=0.5,ROUND(('路线模块库'!AC14-3)*'智能体会话输入'!$B$29*'智能体会话输入'!$C$29*1.5,0),0)</x:f>
        <x:v>-7</x:v>
      </x:c>
      <x:c r="O14" s="92" t="n">
        <x:f>IF('智能体会话输入'!$C$30&gt;=0.5,ROUND(('路线模块库'!AD14-3)*'智能体会话输入'!$B$30*'智能体会话输入'!$C$30*1.5,0),0)</x:f>
        <x:v>0</x:v>
      </x:c>
      <x:c r="P14" s="92" t="n">
        <x:f>IF('智能体会话输入'!$C$31&gt;=0.5,ROUND(('路线模块库'!AE14-3)*'智能体会话输入'!$B$31*'智能体会话输入'!$C$31*1.5,0),0)</x:f>
        <x:v>10</x:v>
      </x:c>
      <x:c r="Q14" s="92" t="n">
        <x:f>IF('智能体会话输入'!$C$32&gt;=0.5,ROUND(('路线模块库'!AF14-3)*'智能体会话输入'!$B$32*'智能体会话输入'!$C$32*1.5,0),0)</x:f>
        <x:v>0</x:v>
      </x:c>
      <x:c r="R14" s="92" t="n">
        <x:f>IF('智能体会话输入'!$C$33&gt;=0.5,ROUND(('路线模块库'!AG14-3)*'智能体会话输入'!$B$33*'智能体会话输入'!$C$33*1.5,0),0)</x:f>
        <x:v>-6</x:v>
      </x:c>
      <x:c r="S14" s="92" t="n">
        <x:f>IF('智能体会话输入'!$C$34&gt;=0.5,ROUND(('路线模块库'!AH14-3)*'智能体会话输入'!$B$34*'智能体会话输入'!$C$34*1.5,0),0)</x:f>
        <x:v>0</x:v>
      </x:c>
      <x:c r="T14" s="92" t="n">
        <x:f>IF('智能体会话输入'!$C$35&gt;=0.5,ROUND(('路线模块库'!AI14-3)*'智能体会话输入'!$B$35*'智能体会话输入'!$C$35*1.5,0),0)</x:f>
        <x:v>0</x:v>
      </x:c>
      <x:c r="U14" s="92" t="n">
        <x:f>IF('智能体会话输入'!$C$36&gt;=0.5,ROUND(('路线模块库'!AJ14-3)*'智能体会话输入'!$B$36*'智能体会话输入'!$C$36*1.5,0),0)</x:f>
        <x:v>10</x:v>
      </x:c>
      <x:c r="V14" s="92" t="n">
        <x:f>SUM(N14:U14)</x:f>
        <x:v>7</x:v>
      </x:c>
      <x:c r="W14" s="89" t="str">
        <x:f>IF(MAX(N14:U14)&lt;=0,"基础画像",IF(MAX(N14:U14)=N14,"视觉奇观",IF(MAX(N14:U14)=O14,"历史理解",IF(MAX(N14:U14)=P14,"在地生活",IF(MAX(N14:U14)=Q14,"饮食互动",IF(MAX(N14:U14)=R14,"低摩擦",IF(MAX(N14:U14)=S14,"摄影创作",IF(MAX(N14:U14)=T14,"亲子教育","复游新鲜感"))))))))</x:f>
        <x:v>在地生活</x:v>
      </x:c>
      <x:c r="X14" s="89" t="str">
        <x:f>IF('路线模块库'!AL14="无","可直接输出","需确认："&amp;'路线模块库'!AL14)</x:f>
        <x:v>需确认：是否拍摄|是否接受不进入私域</x:v>
      </x:c>
    </x:row>
    <x:row r="15" ht="38" customHeight="1">
      <x:c r="A15" s="89" t="str">
        <x:f>'路线模块库'!A15</x:f>
        <x:v>RM10</x:v>
      </x:c>
      <x:c r="B15" s="89" t="str">
        <x:f>'路线模块库'!B15</x:f>
        <x:v>D2</x:v>
      </x:c>
      <x:c r="C15" s="89" t="str">
        <x:f>'路线模块库'!D15</x:f>
        <x:v>陆路城门与山城步道</x:v>
      </x:c>
      <x:c r="D15" s="89" t="str">
        <x:f>'路线模块库'!E15</x:f>
        <x:v>核心解释</x:v>
      </x:c>
      <x:c r="E15" s="92" t="n">
        <x:f>IF('游客输出器'!$B$5="首次经典",'路线模块库'!O15,IF('游客输出器'!$B$5="赛博摄影",'路线模块库'!P15,IF('游客输出器'!$B$5="文化历史",'路线模块库'!Q15,IF('游客输出器'!$B$5="美食生活",'路线模块库'!R15,IF('游客输出器'!$B$5="亲子轻松",'路线模块库'!S15,'路线模块库'!T15)))))</x:f>
        <x:v>5</x:v>
      </x:c>
      <x:c r="F15" s="92" t="n">
        <x:f>IF('游客输出器'!$B$6="低",IF('路线模块库'!L15=3,-120,IF(AND('路线模块库'!L15=2,'路线模块库'!K15&gt;120),-30,IF('路线模块库'!L15=2,-15,0))),IF('游客输出器'!$B$6="中",IF('路线模块库'!L15=3,-12,0),0))</x:f>
        <x:v>-120</x:v>
      </x:c>
      <x:c r="G15" s="92" t="n">
        <x:f>IF('游客输出器'!$B$7="雨天",('路线模块库'!M15-3)*15,IF('游客输出器'!$B$7="炎热",('路线模块库'!N15-3)*12,0))</x:f>
        <x:v>0</x:v>
      </x:c>
      <x:c r="H15" s="92" t="n">
        <x:f>IF(B15="D4",IF('游客输出器'!$B$4&lt;4,-100,IF('路线模块库'!C15='游客输出器'!$B$8,20,-60)),IF(VALUE(RIGHT(B15,1))&lt;='游客输出器'!$B$4,0,-100))</x:f>
        <x:v>0</x:v>
      </x:c>
      <x:c r="I15" s="92" t="n">
        <x:f>'路线模块库'!V15</x:f>
        <x:v>98</x:v>
      </x:c>
      <x:c r="J15" s="92" t="n">
        <x:f>I15+E15*12+F15+G15+H15+'路线模块库'!U15*3+V15+ROW()/10000</x:f>
        <x:v>74.0015</x:v>
      </x:c>
      <x:c r="K15" s="92" t="n">
        <x:f>COUNTIFS($B$6:$B$29,B15,$J$6:$J$29,"&gt;"&amp;J15)+1</x:f>
        <x:v>5</x:v>
      </x:c>
      <x:c r="L15" s="92" t="str">
        <x:f>B15&amp;"-"&amp;K15</x:f>
        <x:v>D2-5</x:v>
      </x:c>
      <x:c r="M15" s="92" t="str">
        <x:f>IF(AND(K15&lt;='游客输出器'!$B$11,OR(B15&lt;&gt;"D4",'游客输出器'!$B$4=4)),"输出","不输出")</x:f>
        <x:v>不输出</x:v>
      </x:c>
      <x:c r="N15" s="92" t="n">
        <x:f>IF('智能体会话输入'!$C$29&gt;=0.5,ROUND(('路线模块库'!AC15-3)*'智能体会话输入'!$B$29*'智能体会话输入'!$C$29*1.5,0),0)</x:f>
        <x:v>7</x:v>
      </x:c>
      <x:c r="O15" s="92" t="n">
        <x:f>IF('智能体会话输入'!$C$30&gt;=0.5,ROUND(('路线模块库'!AD15-3)*'智能体会话输入'!$B$30*'智能体会话输入'!$C$30*1.5,0),0)</x:f>
        <x:v>0</x:v>
      </x:c>
      <x:c r="P15" s="92" t="n">
        <x:f>IF('智能体会话输入'!$C$31&gt;=0.5,ROUND(('路线模块库'!AE15-3)*'智能体会话输入'!$B$31*'智能体会话输入'!$C$31*1.5,0),0)</x:f>
        <x:v>10</x:v>
      </x:c>
      <x:c r="Q15" s="92" t="n">
        <x:f>IF('智能体会话输入'!$C$32&gt;=0.5,ROUND(('路线模块库'!AF15-3)*'智能体会话输入'!$B$32*'智能体会话输入'!$C$32*1.5,0),0)</x:f>
        <x:v>0</x:v>
      </x:c>
      <x:c r="R15" s="92" t="n">
        <x:f>IF('智能体会话输入'!$C$33&gt;=0.5,ROUND(('路线模块库'!AG15-3)*'智能体会话输入'!$B$33*'智能体会话输入'!$C$33*1.5,0),0)</x:f>
        <x:v>-11</x:v>
      </x:c>
      <x:c r="S15" s="92" t="n">
        <x:f>IF('智能体会话输入'!$C$34&gt;=0.5,ROUND(('路线模块库'!AH15-3)*'智能体会话输入'!$B$34*'智能体会话输入'!$C$34*1.5,0),0)</x:f>
        <x:v>5</x:v>
      </x:c>
      <x:c r="T15" s="92" t="n">
        <x:f>IF('智能体会话输入'!$C$35&gt;=0.5,ROUND(('路线模块库'!AI15-3)*'智能体会话输入'!$B$35*'智能体会话输入'!$C$35*1.5,0),0)</x:f>
        <x:v>0</x:v>
      </x:c>
      <x:c r="U15" s="92" t="n">
        <x:f>IF('智能体会话输入'!$C$36&gt;=0.5,ROUND(('路线模块库'!AJ15-3)*'智能体会话输入'!$B$36*'智能体会话输入'!$C$36*1.5,0),0)</x:f>
        <x:v>10</x:v>
      </x:c>
      <x:c r="V15" s="92" t="n">
        <x:f>SUM(N15:U15)</x:f>
        <x:v>21</x:v>
      </x:c>
      <x:c r="W15" s="89" t="str">
        <x:f>IF(MAX(N15:U15)&lt;=0,"基础画像",IF(MAX(N15:U15)=N15,"视觉奇观",IF(MAX(N15:U15)=O15,"历史理解",IF(MAX(N15:U15)=P15,"在地生活",IF(MAX(N15:U15)=Q15,"饮食互动",IF(MAX(N15:U15)=R15,"低摩擦",IF(MAX(N15:U15)=S15,"摄影创作",IF(MAX(N15:U15)=T15,"亲子教育","复游新鲜感"))))))))</x:f>
        <x:v>在地生活</x:v>
      </x:c>
      <x:c r="X15" s="89" t="str">
        <x:f>IF('路线模块库'!AL15="无","可直接输出","需确认："&amp;'路线模块库'!AL15)</x:f>
        <x:v>需确认：连续台阶能力|膝关节情况</x:v>
      </x:c>
    </x:row>
    <x:row r="16" ht="38" customHeight="1">
      <x:c r="A16" s="89" t="str">
        <x:f>'路线模块库'!A16</x:f>
        <x:v>RM11</x:v>
      </x:c>
      <x:c r="B16" s="89" t="str">
        <x:f>'路线模块库'!B16</x:f>
        <x:v>D2</x:v>
      </x:c>
      <x:c r="C16" s="89" t="str">
        <x:f>'路线模块库'!D16</x:f>
        <x:v>平民战争记忆</x:v>
      </x:c>
      <x:c r="D16" s="89" t="str">
        <x:f>'路线模块库'!E16</x:f>
        <x:v>核心解释</x:v>
      </x:c>
      <x:c r="E16" s="92" t="n">
        <x:f>IF('游客输出器'!$B$5="首次经典",'路线模块库'!O16,IF('游客输出器'!$B$5="赛博摄影",'路线模块库'!P16,IF('游客输出器'!$B$5="文化历史",'路线模块库'!Q16,IF('游客输出器'!$B$5="美食生活",'路线模块库'!R16,IF('游客输出器'!$B$5="亲子轻松",'路线模块库'!S16,'路线模块库'!T16)))))</x:f>
        <x:v>2</x:v>
      </x:c>
      <x:c r="F16" s="92" t="n">
        <x:f>IF('游客输出器'!$B$6="低",IF('路线模块库'!L16=3,-120,IF(AND('路线模块库'!L16=2,'路线模块库'!K16&gt;120),-30,IF('路线模块库'!L16=2,-15,0))),IF('游客输出器'!$B$6="中",IF('路线模块库'!L16=3,-12,0),0))</x:f>
        <x:v>0</x:v>
      </x:c>
      <x:c r="G16" s="92" t="n">
        <x:f>IF('游客输出器'!$B$7="雨天",('路线模块库'!M16-3)*15,IF('游客输出器'!$B$7="炎热",('路线模块库'!N16-3)*12,0))</x:f>
        <x:v>0</x:v>
      </x:c>
      <x:c r="H16" s="92" t="n">
        <x:f>IF(B16="D4",IF('游客输出器'!$B$4&lt;4,-100,IF('路线模块库'!C16='游客输出器'!$B$8,20,-60)),IF(VALUE(RIGHT(B16,1))&lt;='游客输出器'!$B$4,0,-100))</x:f>
        <x:v>0</x:v>
      </x:c>
      <x:c r="I16" s="92" t="n">
        <x:f>'路线模块库'!V16</x:f>
        <x:v>55</x:v>
      </x:c>
      <x:c r="J16" s="92" t="n">
        <x:f>I16+E16*12+F16+G16+H16+'路线模块库'!U16*3+V16+ROW()/10000</x:f>
        <x:v>79.0016</x:v>
      </x:c>
      <x:c r="K16" s="92" t="n">
        <x:f>COUNTIFS($B$6:$B$29,B16,$J$6:$J$29,"&gt;"&amp;J16)+1</x:f>
        <x:v>4</x:v>
      </x:c>
      <x:c r="L16" s="92" t="str">
        <x:f>B16&amp;"-"&amp;K16</x:f>
        <x:v>D2-4</x:v>
      </x:c>
      <x:c r="M16" s="92" t="str">
        <x:f>IF(AND(K16&lt;='游客输出器'!$B$11,OR(B16&lt;&gt;"D4",'游客输出器'!$B$4=4)),"输出","不输出")</x:f>
        <x:v>不输出</x:v>
      </x:c>
      <x:c r="N16" s="92" t="n">
        <x:f>IF('智能体会话输入'!$C$29&gt;=0.5,ROUND(('路线模块库'!AC16-3)*'智能体会话输入'!$B$29*'智能体会话输入'!$C$29*1.5,0),0)</x:f>
        <x:v>-7</x:v>
      </x:c>
      <x:c r="O16" s="92" t="n">
        <x:f>IF('智能体会话输入'!$C$30&gt;=0.5,ROUND(('路线模块库'!AD16-3)*'智能体会话输入'!$B$30*'智能体会话输入'!$C$30*1.5,0),0)</x:f>
        <x:v>0</x:v>
      </x:c>
      <x:c r="P16" s="92" t="n">
        <x:f>IF('智能体会话输入'!$C$31&gt;=0.5,ROUND(('路线模块库'!AE16-3)*'智能体会话输入'!$B$31*'智能体会话输入'!$C$31*1.5,0),0)</x:f>
        <x:v>-5</x:v>
      </x:c>
      <x:c r="Q16" s="92" t="n">
        <x:f>IF('智能体会话输入'!$C$32&gt;=0.5,ROUND(('路线模块库'!AF16-3)*'智能体会话输入'!$B$32*'智能体会话输入'!$C$32*1.5,0),0)</x:f>
        <x:v>0</x:v>
      </x:c>
      <x:c r="R16" s="92" t="n">
        <x:f>IF('智能体会话输入'!$C$33&gt;=0.5,ROUND(('路线模块库'!AG16-3)*'智能体会话输入'!$B$33*'智能体会话输入'!$C$33*1.5,0),0)</x:f>
        <x:v>6</x:v>
      </x:c>
      <x:c r="S16" s="92" t="n">
        <x:f>IF('智能体会话输入'!$C$34&gt;=0.5,ROUND(('路线模块库'!AH16-3)*'智能体会话输入'!$B$34*'智能体会话输入'!$C$34*1.5,0),0)</x:f>
        <x:v>-11</x:v>
      </x:c>
      <x:c r="T16" s="92" t="n">
        <x:f>IF('智能体会话输入'!$C$35&gt;=0.5,ROUND(('路线模块库'!AI16-3)*'智能体会话输入'!$B$35*'智能体会话输入'!$C$35*1.5,0),0)</x:f>
        <x:v>0</x:v>
      </x:c>
      <x:c r="U16" s="92" t="n">
        <x:f>IF('智能体会话输入'!$C$36&gt;=0.5,ROUND(('路线模块库'!AJ16-3)*'智能体会话输入'!$B$36*'智能体会话输入'!$C$36*1.5,0),0)</x:f>
        <x:v>5</x:v>
      </x:c>
      <x:c r="V16" s="92" t="n">
        <x:f>SUM(N16:U16)</x:f>
        <x:v>-12</x:v>
      </x:c>
      <x:c r="W16" s="89" t="str">
        <x:f>IF(MAX(N16:U16)&lt;=0,"基础画像",IF(MAX(N16:U16)=N16,"视觉奇观",IF(MAX(N16:U16)=O16,"历史理解",IF(MAX(N16:U16)=P16,"在地生活",IF(MAX(N16:U16)=Q16,"饮食互动",IF(MAX(N16:U16)=R16,"低摩擦",IF(MAX(N16:U16)=S16,"摄影创作",IF(MAX(N16:U16)=T16,"亲子教育","复游新鲜感"))))))))</x:f>
        <x:v>低摩擦</x:v>
      </x:c>
      <x:c r="X16" s="89" t="str">
        <x:f>IF('路线模块库'!AL16="无","可直接输出","需确认："&amp;'路线模块库'!AL16)</x:f>
        <x:v>需确认：是否接受战争与伤亡内容</x:v>
      </x:c>
    </x:row>
    <x:row r="17" ht="38" customHeight="1">
      <x:c r="A17" s="89" t="str">
        <x:f>'路线模块库'!A17</x:f>
        <x:v>RM12</x:v>
      </x:c>
      <x:c r="B17" s="89" t="str">
        <x:f>'路线模块库'!B17</x:f>
        <x:v>D2</x:v>
      </x:c>
      <x:c r="C17" s="89" t="str">
        <x:f>'路线模块库'!D17</x:f>
        <x:v>小面早餐与火锅社交</x:v>
      </x:c>
      <x:c r="D17" s="89" t="str">
        <x:f>'路线模块库'!E17</x:f>
        <x:v>付费体验</x:v>
      </x:c>
      <x:c r="E17" s="92" t="n">
        <x:f>IF('游客输出器'!$B$5="首次经典",'路线模块库'!O17,IF('游客输出器'!$B$5="赛博摄影",'路线模块库'!P17,IF('游客输出器'!$B$5="文化历史",'路线模块库'!Q17,IF('游客输出器'!$B$5="美食生活",'路线模块库'!R17,IF('游客输出器'!$B$5="亲子轻松",'路线模块库'!S17,'路线模块库'!T17)))))</x:f>
        <x:v>5</x:v>
      </x:c>
      <x:c r="F17" s="92" t="n">
        <x:f>IF('游客输出器'!$B$6="低",IF('路线模块库'!L17=3,-120,IF(AND('路线模块库'!L17=2,'路线模块库'!K17&gt;120),-30,IF('路线模块库'!L17=2,-15,0))),IF('游客输出器'!$B$6="中",IF('路线模块库'!L17=3,-12,0),0))</x:f>
        <x:v>0</x:v>
      </x:c>
      <x:c r="G17" s="92" t="n">
        <x:f>IF('游客输出器'!$B$7="雨天",('路线模块库'!M17-3)*15,IF('游客输出器'!$B$7="炎热",('路线模块库'!N17-3)*12,0))</x:f>
        <x:v>0</x:v>
      </x:c>
      <x:c r="H17" s="92" t="n">
        <x:f>IF(B17="D4",IF('游客输出器'!$B$4&lt;4,-100,IF('路线模块库'!C17='游客输出器'!$B$8,20,-60)),IF(VALUE(RIGHT(B17,1))&lt;='游客输出器'!$B$4,0,-100))</x:f>
        <x:v>0</x:v>
      </x:c>
      <x:c r="I17" s="92" t="n">
        <x:f>'路线模块库'!V17</x:f>
        <x:v>97</x:v>
      </x:c>
      <x:c r="J17" s="92" t="n">
        <x:f>I17+E17*12+F17+G17+H17+'路线模块库'!U17*3+V17+ROW()/10000</x:f>
        <x:v>180.0017</x:v>
      </x:c>
      <x:c r="K17" s="92" t="n">
        <x:f>COUNTIFS($B$6:$B$29,B17,$J$6:$J$29,"&gt;"&amp;J17)+1</x:f>
        <x:v>1</x:v>
      </x:c>
      <x:c r="L17" s="92" t="str">
        <x:f>B17&amp;"-"&amp;K17</x:f>
        <x:v>D2-1</x:v>
      </x:c>
      <x:c r="M17" s="92" t="str">
        <x:f>IF(AND(K17&lt;='游客输出器'!$B$11,OR(B17&lt;&gt;"D4",'游客输出器'!$B$4=4)),"输出","不输出")</x:f>
        <x:v>输出</x:v>
      </x:c>
      <x:c r="N17" s="92" t="n">
        <x:f>IF('智能体会话输入'!$C$29&gt;=0.5,ROUND(('路线模块库'!AC17-3)*'智能体会话输入'!$B$29*'智能体会话输入'!$C$29*1.5,0),0)</x:f>
        <x:v>-7</x:v>
      </x:c>
      <x:c r="O17" s="92" t="n">
        <x:f>IF('智能体会话输入'!$C$30&gt;=0.5,ROUND(('路线模块库'!AD17-3)*'智能体会话输入'!$B$30*'智能体会话输入'!$C$30*1.5,0),0)</x:f>
        <x:v>0</x:v>
      </x:c>
      <x:c r="P17" s="92" t="n">
        <x:f>IF('智能体会话输入'!$C$31&gt;=0.5,ROUND(('路线模块库'!AE17-3)*'智能体会话输入'!$B$31*'智能体会话输入'!$C$31*1.5,0),0)</x:f>
        <x:v>10</x:v>
      </x:c>
      <x:c r="Q17" s="92" t="n">
        <x:f>IF('智能体会话输入'!$C$32&gt;=0.5,ROUND(('路线模块库'!AF17-3)*'智能体会话输入'!$B$32*'智能体会话输入'!$C$32*1.5,0),0)</x:f>
        <x:v>0</x:v>
      </x:c>
      <x:c r="R17" s="92" t="n">
        <x:f>IF('智能体会话输入'!$C$33&gt;=0.5,ROUND(('路线模块库'!AG17-3)*'智能体会话输入'!$B$33*'智能体会话输入'!$C$33*1.5,0),0)</x:f>
        <x:v>0</x:v>
      </x:c>
      <x:c r="S17" s="92" t="n">
        <x:f>IF('智能体会话输入'!$C$34&gt;=0.5,ROUND(('路线模块库'!AH17-3)*'智能体会话输入'!$B$34*'智能体会话输入'!$C$34*1.5,0),0)</x:f>
        <x:v>0</x:v>
      </x:c>
      <x:c r="T17" s="92" t="n">
        <x:f>IF('智能体会话输入'!$C$35&gt;=0.5,ROUND(('路线模块库'!AI17-3)*'智能体会话输入'!$B$35*'智能体会话输入'!$C$35*1.5,0),0)</x:f>
        <x:v>0</x:v>
      </x:c>
      <x:c r="U17" s="92" t="n">
        <x:f>IF('智能体会话输入'!$C$36&gt;=0.5,ROUND(('路线模块库'!AJ17-3)*'智能体会话输入'!$B$36*'智能体会话输入'!$C$36*1.5,0),0)</x:f>
        <x:v>5</x:v>
      </x:c>
      <x:c r="V17" s="92" t="n">
        <x:f>SUM(N17:U17)</x:f>
        <x:v>8</x:v>
      </x:c>
      <x:c r="W17" s="89" t="str">
        <x:f>IF(MAX(N17:U17)&lt;=0,"基础画像",IF(MAX(N17:U17)=N17,"视觉奇观",IF(MAX(N17:U17)=O17,"历史理解",IF(MAX(N17:U17)=P17,"在地生活",IF(MAX(N17:U17)=Q17,"饮食互动",IF(MAX(N17:U17)=R17,"低摩擦",IF(MAX(N17:U17)=S17,"摄影创作",IF(MAX(N17:U17)=T17,"亲子教育","复游新鲜感"))))))))</x:f>
        <x:v>在地生活</x:v>
      </x:c>
      <x:c r="X17" s="89" t="str">
        <x:f>IF('路线模块库'!AL17="无","可直接输出","需确认："&amp;'路线模块库'!AL17)</x:f>
        <x:v>需确认：过敏|忌口|辣度|预算</x:v>
      </x:c>
    </x:row>
    <x:row r="18" ht="38" customHeight="1">
      <x:c r="A18" s="89" t="str">
        <x:f>'路线模块库'!A18</x:f>
        <x:v>RM13</x:v>
      </x:c>
      <x:c r="B18" s="89" t="str">
        <x:f>'路线模块库'!B18</x:f>
        <x:v>D3</x:v>
      </x:c>
      <x:c r="C18" s="89" t="str">
        <x:f>'路线模块库'!D18</x:f>
        <x:v>博物馆建立城市框架</x:v>
      </x:c>
      <x:c r="D18" s="89" t="str">
        <x:f>'路线模块库'!E18</x:f>
        <x:v>核心解释</x:v>
      </x:c>
      <x:c r="E18" s="92" t="n">
        <x:f>IF('游客输出器'!$B$5="首次经典",'路线模块库'!O18,IF('游客输出器'!$B$5="赛博摄影",'路线模块库'!P18,IF('游客输出器'!$B$5="文化历史",'路线模块库'!Q18,IF('游客输出器'!$B$5="美食生活",'路线模块库'!R18,IF('游客输出器'!$B$5="亲子轻松",'路线模块库'!S18,'路线模块库'!T18)))))</x:f>
        <x:v>5</x:v>
      </x:c>
      <x:c r="F18" s="92" t="n">
        <x:f>IF('游客输出器'!$B$6="低",IF('路线模块库'!L18=3,-120,IF(AND('路线模块库'!L18=2,'路线模块库'!K18&gt;120),-30,IF('路线模块库'!L18=2,-15,0))),IF('游客输出器'!$B$6="中",IF('路线模块库'!L18=3,-12,0),0))</x:f>
        <x:v>0</x:v>
      </x:c>
      <x:c r="G18" s="92" t="n">
        <x:f>IF('游客输出器'!$B$7="雨天",('路线模块库'!M18-3)*15,IF('游客输出器'!$B$7="炎热",('路线模块库'!N18-3)*12,0))</x:f>
        <x:v>0</x:v>
      </x:c>
      <x:c r="H18" s="92" t="n">
        <x:f>IF(B18="D4",IF('游客输出器'!$B$4&lt;4,-100,IF('路线模块库'!C18='游客输出器'!$B$8,20,-60)),IF(VALUE(RIGHT(B18,1))&lt;='游客输出器'!$B$4,0,-100))</x:f>
        <x:v>0</x:v>
      </x:c>
      <x:c r="I18" s="92" t="n">
        <x:f>'路线模块库'!V18</x:f>
        <x:v>92</x:v>
      </x:c>
      <x:c r="J18" s="92" t="n">
        <x:f>I18+E18*12+F18+G18+H18+'路线模块库'!U18*3+V18+ROW()/10000</x:f>
        <x:v>158.0018</x:v>
      </x:c>
      <x:c r="K18" s="92" t="n">
        <x:f>COUNTIFS($B$6:$B$29,B18,$J$6:$J$29,"&gt;"&amp;J18)+1</x:f>
        <x:v>3</x:v>
      </x:c>
      <x:c r="L18" s="92" t="str">
        <x:f>B18&amp;"-"&amp;K18</x:f>
        <x:v>D3-3</x:v>
      </x:c>
      <x:c r="M18" s="92" t="str">
        <x:f>IF(AND(K18&lt;='游客输出器'!$B$11,OR(B18&lt;&gt;"D4",'游客输出器'!$B$4=4)),"输出","不输出")</x:f>
        <x:v>输出</x:v>
      </x:c>
      <x:c r="N18" s="92" t="n">
        <x:f>IF('智能体会话输入'!$C$29&gt;=0.5,ROUND(('路线模块库'!AC18-3)*'智能体会话输入'!$B$29*'智能体会话输入'!$C$29*1.5,0),0)</x:f>
        <x:v>-7</x:v>
      </x:c>
      <x:c r="O18" s="92" t="n">
        <x:f>IF('智能体会话输入'!$C$30&gt;=0.5,ROUND(('路线模块库'!AD18-3)*'智能体会话输入'!$B$30*'智能体会话输入'!$C$30*1.5,0),0)</x:f>
        <x:v>0</x:v>
      </x:c>
      <x:c r="P18" s="92" t="n">
        <x:f>IF('智能体会话输入'!$C$31&gt;=0.5,ROUND(('路线模块库'!AE18-3)*'智能体会话输入'!$B$31*'智能体会话输入'!$C$31*1.5,0),0)</x:f>
        <x:v>-5</x:v>
      </x:c>
      <x:c r="Q18" s="92" t="n">
        <x:f>IF('智能体会话输入'!$C$32&gt;=0.5,ROUND(('路线模块库'!AF18-3)*'智能体会话输入'!$B$32*'智能体会话输入'!$C$32*1.5,0),0)</x:f>
        <x:v>0</x:v>
      </x:c>
      <x:c r="R18" s="92" t="n">
        <x:f>IF('智能体会话输入'!$C$33&gt;=0.5,ROUND(('路线模块库'!AG18-3)*'智能体会话输入'!$B$33*'智能体会话输入'!$C$33*1.5,0),0)</x:f>
        <x:v>11</x:v>
      </x:c>
      <x:c r="S18" s="92" t="n">
        <x:f>IF('智能体会话输入'!$C$34&gt;=0.5,ROUND(('路线模块库'!AH18-3)*'智能体会话输入'!$B$34*'智能体会话输入'!$C$34*1.5,0),0)</x:f>
        <x:v>-5</x:v>
      </x:c>
      <x:c r="T18" s="92" t="n">
        <x:f>IF('智能体会话输入'!$C$35&gt;=0.5,ROUND(('路线模块库'!AI18-3)*'智能体会话输入'!$B$35*'智能体会话输入'!$C$35*1.5,0),0)</x:f>
        <x:v>0</x:v>
      </x:c>
      <x:c r="U18" s="92" t="n">
        <x:f>IF('智能体会话输入'!$C$36&gt;=0.5,ROUND(('路线模块库'!AJ18-3)*'智能体会话输入'!$B$36*'智能体会话输入'!$C$36*1.5,0),0)</x:f>
        <x:v>0</x:v>
      </x:c>
      <x:c r="V18" s="92" t="n">
        <x:f>SUM(N18:U18)</x:f>
        <x:v>-6</x:v>
      </x:c>
      <x:c r="W18" s="89" t="str">
        <x:f>IF(MAX(N18:U18)&lt;=0,"基础画像",IF(MAX(N18:U18)=N18,"视觉奇观",IF(MAX(N18:U18)=O18,"历史理解",IF(MAX(N18:U18)=P18,"在地生活",IF(MAX(N18:U18)=Q18,"饮食互动",IF(MAX(N18:U18)=R18,"低摩擦",IF(MAX(N18:U18)=S18,"摄影创作",IF(MAX(N18:U18)=T18,"亲子教育","复游新鲜感"))))))))</x:f>
        <x:v>低摩擦</x:v>
      </x:c>
      <x:c r="X18" s="89" t="str">
        <x:f>IF('路线模块库'!AL18="无","可直接输出","需确认："&amp;'路线模块库'!AL18)</x:f>
        <x:v>需确认：开放时间|儿童年龄</x:v>
      </x:c>
    </x:row>
    <x:row r="19" ht="38" customHeight="1">
      <x:c r="A19" s="89" t="str">
        <x:f>'路线模块库'!A19</x:f>
        <x:v>RM14</x:v>
      </x:c>
      <x:c r="B19" s="89" t="str">
        <x:f>'路线模块库'!B19</x:f>
        <x:v>D3</x:v>
      </x:c>
      <x:c r="C19" s="89" t="str">
        <x:f>'路线模块库'!D19</x:f>
        <x:v>抗战陪都街区</x:v>
      </x:c>
      <x:c r="D19" s="89" t="str">
        <x:f>'路线模块库'!E19</x:f>
        <x:v>核心解释</x:v>
      </x:c>
      <x:c r="E19" s="92" t="n">
        <x:f>IF('游客输出器'!$B$5="首次经典",'路线模块库'!O19,IF('游客输出器'!$B$5="赛博摄影",'路线模块库'!P19,IF('游客输出器'!$B$5="文化历史",'路线模块库'!Q19,IF('游客输出器'!$B$5="美食生活",'路线模块库'!R19,IF('游客输出器'!$B$5="亲子轻松",'路线模块库'!S19,'路线模块库'!T19)))))</x:f>
        <x:v>4</x:v>
      </x:c>
      <x:c r="F19" s="92" t="n">
        <x:f>IF('游客输出器'!$B$6="低",IF('路线模块库'!L19=3,-120,IF(AND('路线模块库'!L19=2,'路线模块库'!K19&gt;120),-30,IF('路线模块库'!L19=2,-15,0))),IF('游客输出器'!$B$6="中",IF('路线模块库'!L19=3,-12,0),0))</x:f>
        <x:v>0</x:v>
      </x:c>
      <x:c r="G19" s="92" t="n">
        <x:f>IF('游客输出器'!$B$7="雨天",('路线模块库'!M19-3)*15,IF('游客输出器'!$B$7="炎热",('路线模块库'!N19-3)*12,0))</x:f>
        <x:v>0</x:v>
      </x:c>
      <x:c r="H19" s="92" t="n">
        <x:f>IF(B19="D4",IF('游客输出器'!$B$4&lt;4,-100,IF('路线模块库'!C19='游客输出器'!$B$8,20,-60)),IF(VALUE(RIGHT(B19,1))&lt;='游客输出器'!$B$4,0,-100))</x:f>
        <x:v>0</x:v>
      </x:c>
      <x:c r="I19" s="92" t="n">
        <x:f>'路线模块库'!V19</x:f>
        <x:v>93</x:v>
      </x:c>
      <x:c r="J19" s="92" t="n">
        <x:f>I19+E19*12+F19+G19+H19+'路线模块库'!U19*3+V19+ROW()/10000</x:f>
        <x:v>167.0019</x:v>
      </x:c>
      <x:c r="K19" s="92" t="n">
        <x:f>COUNTIFS($B$6:$B$29,B19,$J$6:$J$29,"&gt;"&amp;J19)+1</x:f>
        <x:v>2</x:v>
      </x:c>
      <x:c r="L19" s="92" t="str">
        <x:f>B19&amp;"-"&amp;K19</x:f>
        <x:v>D3-2</x:v>
      </x:c>
      <x:c r="M19" s="92" t="str">
        <x:f>IF(AND(K19&lt;='游客输出器'!$B$11,OR(B19&lt;&gt;"D4",'游客输出器'!$B$4=4)),"输出","不输出")</x:f>
        <x:v>输出</x:v>
      </x:c>
      <x:c r="N19" s="92" t="n">
        <x:f>IF('智能体会话输入'!$C$29&gt;=0.5,ROUND(('路线模块库'!AC19-3)*'智能体会话输入'!$B$29*'智能体会话输入'!$C$29*1.5,0),0)</x:f>
        <x:v>0</x:v>
      </x:c>
      <x:c r="O19" s="92" t="n">
        <x:f>IF('智能体会话输入'!$C$30&gt;=0.5,ROUND(('路线模块库'!AD19-3)*'智能体会话输入'!$B$30*'智能体会话输入'!$C$30*1.5,0),0)</x:f>
        <x:v>0</x:v>
      </x:c>
      <x:c r="P19" s="92" t="n">
        <x:f>IF('智能体会话输入'!$C$31&gt;=0.5,ROUND(('路线模块库'!AE19-3)*'智能体会话输入'!$B$31*'智能体会话输入'!$C$31*1.5,0),0)</x:f>
        <x:v>0</x:v>
      </x:c>
      <x:c r="Q19" s="92" t="n">
        <x:f>IF('智能体会话输入'!$C$32&gt;=0.5,ROUND(('路线模块库'!AF19-3)*'智能体会话输入'!$B$32*'智能体会话输入'!$C$32*1.5,0),0)</x:f>
        <x:v>0</x:v>
      </x:c>
      <x:c r="R19" s="92" t="n">
        <x:f>IF('智能体会话输入'!$C$33&gt;=0.5,ROUND(('路线模块库'!AG19-3)*'智能体会话输入'!$B$33*'智能体会话输入'!$C$33*1.5,0),0)</x:f>
        <x:v>6</x:v>
      </x:c>
      <x:c r="S19" s="92" t="n">
        <x:f>IF('智能体会话输入'!$C$34&gt;=0.5,ROUND(('路线模块库'!AH19-3)*'智能体会话输入'!$B$34*'智能体会话输入'!$C$34*1.5,0),0)</x:f>
        <x:v>0</x:v>
      </x:c>
      <x:c r="T19" s="92" t="n">
        <x:f>IF('智能体会话输入'!$C$35&gt;=0.5,ROUND(('路线模块库'!AI19-3)*'智能体会话输入'!$B$35*'智能体会话输入'!$C$35*1.5,0),0)</x:f>
        <x:v>0</x:v>
      </x:c>
      <x:c r="U19" s="92" t="n">
        <x:f>IF('智能体会话输入'!$C$36&gt;=0.5,ROUND(('路线模块库'!AJ19-3)*'智能体会话输入'!$B$36*'智能体会话输入'!$C$36*1.5,0),0)</x:f>
        <x:v>5</x:v>
      </x:c>
      <x:c r="V19" s="92" t="n">
        <x:f>SUM(N19:U19)</x:f>
        <x:v>11</x:v>
      </x:c>
      <x:c r="W19" s="89" t="str">
        <x:f>IF(MAX(N19:U19)&lt;=0,"基础画像",IF(MAX(N19:U19)=N19,"视觉奇观",IF(MAX(N19:U19)=O19,"历史理解",IF(MAX(N19:U19)=P19,"在地生活",IF(MAX(N19:U19)=Q19,"饮食互动",IF(MAX(N19:U19)=R19,"低摩擦",IF(MAX(N19:U19)=S19,"摄影创作",IF(MAX(N19:U19)=T19,"亲子教育","复游新鲜感"))))))))</x:f>
        <x:v>低摩擦</x:v>
      </x:c>
      <x:c r="X19" s="89" t="str">
        <x:f>IF('路线模块库'!AL19="无","可直接输出","需确认："&amp;'路线模块库'!AL19)</x:f>
        <x:v>需确认：历史兴趣深度</x:v>
      </x:c>
    </x:row>
    <x:row r="20" ht="38" customHeight="1">
      <x:c r="A20" s="89" t="str">
        <x:f>'路线模块库'!A20</x:f>
        <x:v>RM15</x:v>
      </x:c>
      <x:c r="B20" s="89" t="str">
        <x:f>'路线模块库'!B20</x:f>
        <x:v>D3</x:v>
      </x:c>
      <x:c r="C20" s="89" t="str">
        <x:f>'路线模块库'!D20</x:f>
        <x:v>国际二战接口</x:v>
      </x:c>
      <x:c r="D20" s="89" t="str">
        <x:f>'路线模块库'!E20</x:f>
        <x:v>核心解释</x:v>
      </x:c>
      <x:c r="E20" s="92" t="n">
        <x:f>IF('游客输出器'!$B$5="首次经典",'路线模块库'!O20,IF('游客输出器'!$B$5="赛博摄影",'路线模块库'!P20,IF('游客输出器'!$B$5="文化历史",'路线模块库'!Q20,IF('游客输出器'!$B$5="美食生活",'路线模块库'!R20,IF('游客输出器'!$B$5="亲子轻松",'路线模块库'!S20,'路线模块库'!T20)))))</x:f>
        <x:v>3</x:v>
      </x:c>
      <x:c r="F20" s="92" t="n">
        <x:f>IF('游客输出器'!$B$6="低",IF('路线模块库'!L20=3,-120,IF(AND('路线模块库'!L20=2,'路线模块库'!K20&gt;120),-30,IF('路线模块库'!L20=2,-15,0))),IF('游客输出器'!$B$6="中",IF('路线模块库'!L20=3,-12,0),0))</x:f>
        <x:v>0</x:v>
      </x:c>
      <x:c r="G20" s="92" t="n">
        <x:f>IF('游客输出器'!$B$7="雨天",('路线模块库'!M20-3)*15,IF('游客输出器'!$B$7="炎热",('路线模块库'!N20-3)*12,0))</x:f>
        <x:v>0</x:v>
      </x:c>
      <x:c r="H20" s="92" t="n">
        <x:f>IF(B20="D4",IF('游客输出器'!$B$4&lt;4,-100,IF('路线模块库'!C20='游客输出器'!$B$8,20,-60)),IF(VALUE(RIGHT(B20,1))&lt;='游客输出器'!$B$4,0,-100))</x:f>
        <x:v>0</x:v>
      </x:c>
      <x:c r="I20" s="92" t="n">
        <x:f>'路线模块库'!V20</x:f>
        <x:v>74</x:v>
      </x:c>
      <x:c r="J20" s="92" t="n">
        <x:f>I20+E20*12+F20+G20+H20+'路线模块库'!U20*3+V20+ROW()/10000</x:f>
        <x:v>124.002</x:v>
      </x:c>
      <x:c r="K20" s="92" t="n">
        <x:f>COUNTIFS($B$6:$B$29,B20,$J$6:$J$29,"&gt;"&amp;J20)+1</x:f>
        <x:v>4</x:v>
      </x:c>
      <x:c r="L20" s="92" t="str">
        <x:f>B20&amp;"-"&amp;K20</x:f>
        <x:v>D3-4</x:v>
      </x:c>
      <x:c r="M20" s="92" t="str">
        <x:f>IF(AND(K20&lt;='游客输出器'!$B$11,OR(B20&lt;&gt;"D4",'游客输出器'!$B$4=4)),"输出","不输出")</x:f>
        <x:v>不输出</x:v>
      </x:c>
      <x:c r="N20" s="92" t="n">
        <x:f>IF('智能体会话输入'!$C$29&gt;=0.5,ROUND(('路线模块库'!AC20-3)*'智能体会话输入'!$B$29*'智能体会话输入'!$C$29*1.5,0),0)</x:f>
        <x:v>-7</x:v>
      </x:c>
      <x:c r="O20" s="92" t="n">
        <x:f>IF('智能体会话输入'!$C$30&gt;=0.5,ROUND(('路线模块库'!AD20-3)*'智能体会话输入'!$B$30*'智能体会话输入'!$C$30*1.5,0),0)</x:f>
        <x:v>0</x:v>
      </x:c>
      <x:c r="P20" s="92" t="n">
        <x:f>IF('智能体会话输入'!$C$31&gt;=0.5,ROUND(('路线模块库'!AE20-3)*'智能体会话输入'!$B$31*'智能体会话输入'!$C$31*1.5,0),0)</x:f>
        <x:v>-5</x:v>
      </x:c>
      <x:c r="Q20" s="92" t="n">
        <x:f>IF('智能体会话输入'!$C$32&gt;=0.5,ROUND(('路线模块库'!AF20-3)*'智能体会话输入'!$B$32*'智能体会话输入'!$C$32*1.5,0),0)</x:f>
        <x:v>0</x:v>
      </x:c>
      <x:c r="R20" s="92" t="n">
        <x:f>IF('智能体会话输入'!$C$33&gt;=0.5,ROUND(('路线模块库'!AG20-3)*'智能体会话输入'!$B$33*'智能体会话输入'!$C$33*1.5,0),0)</x:f>
        <x:v>6</x:v>
      </x:c>
      <x:c r="S20" s="92" t="n">
        <x:f>IF('智能体会话输入'!$C$34&gt;=0.5,ROUND(('路线模块库'!AH20-3)*'智能体会话输入'!$B$34*'智能体会话输入'!$C$34*1.5,0),0)</x:f>
        <x:v>-5</x:v>
      </x:c>
      <x:c r="T20" s="92" t="n">
        <x:f>IF('智能体会话输入'!$C$35&gt;=0.5,ROUND(('路线模块库'!AI20-3)*'智能体会话输入'!$B$35*'智能体会话输入'!$C$35*1.5,0),0)</x:f>
        <x:v>0</x:v>
      </x:c>
      <x:c r="U20" s="92" t="n">
        <x:f>IF('智能体会话输入'!$C$36&gt;=0.5,ROUND(('路线模块库'!AJ20-3)*'智能体会话输入'!$B$36*'智能体会话输入'!$C$36*1.5,0),0)</x:f>
        <x:v>10</x:v>
      </x:c>
      <x:c r="V20" s="92" t="n">
        <x:f>SUM(N20:U20)</x:f>
        <x:v>-1</x:v>
      </x:c>
      <x:c r="W20" s="89" t="str">
        <x:f>IF(MAX(N20:U20)&lt;=0,"基础画像",IF(MAX(N20:U20)=N20,"视觉奇观",IF(MAX(N20:U20)=O20,"历史理解",IF(MAX(N20:U20)=P20,"在地生活",IF(MAX(N20:U20)=Q20,"饮食互动",IF(MAX(N20:U20)=R20,"低摩擦",IF(MAX(N20:U20)=S20,"摄影创作",IF(MAX(N20:U20)=T20,"亲子教育","复游新鲜感"))))))))</x:f>
        <x:v>复游新鲜感</x:v>
      </x:c>
      <x:c r="X20" s="89" t="str">
        <x:f>IF('路线模块库'!AL20="无","可直接输出","需确认："&amp;'路线模块库'!AL20)</x:f>
        <x:v>需确认：国别背景|二战兴趣</x:v>
      </x:c>
    </x:row>
    <x:row r="21" ht="38" customHeight="1">
      <x:c r="A21" s="89" t="str">
        <x:f>'路线模块库'!A21</x:f>
        <x:v>RM16</x:v>
      </x:c>
      <x:c r="B21" s="89" t="str">
        <x:f>'路线模块库'!B21</x:f>
        <x:v>D3</x:v>
      </x:c>
      <x:c r="C21" s="89" t="str">
        <x:f>'路线模块库'!D21</x:f>
        <x:v>先乘坐，再拍照</x:v>
      </x:c>
      <x:c r="D21" s="89" t="str">
        <x:f>'路线模块库'!E21</x:f>
        <x:v>引流钩子</x:v>
      </x:c>
      <x:c r="E21" s="92" t="n">
        <x:f>IF('游客输出器'!$B$5="首次经典",'路线模块库'!O21,IF('游客输出器'!$B$5="赛博摄影",'路线模块库'!P21,IF('游客输出器'!$B$5="文化历史",'路线模块库'!Q21,IF('游客输出器'!$B$5="美食生活",'路线模块库'!R21,IF('游客输出器'!$B$5="亲子轻松",'路线模块库'!S21,'路线模块库'!T21)))))</x:f>
        <x:v>5</x:v>
      </x:c>
      <x:c r="F21" s="92" t="n">
        <x:f>IF('游客输出器'!$B$6="低",IF('路线模块库'!L21=3,-120,IF(AND('路线模块库'!L21=2,'路线模块库'!K21&gt;120),-30,IF('路线模块库'!L21=2,-15,0))),IF('游客输出器'!$B$6="中",IF('路线模块库'!L21=3,-12,0),0))</x:f>
        <x:v>0</x:v>
      </x:c>
      <x:c r="G21" s="92" t="n">
        <x:f>IF('游客输出器'!$B$7="雨天",('路线模块库'!M21-3)*15,IF('游客输出器'!$B$7="炎热",('路线模块库'!N21-3)*12,0))</x:f>
        <x:v>0</x:v>
      </x:c>
      <x:c r="H21" s="92" t="n">
        <x:f>IF(B21="D4",IF('游客输出器'!$B$4&lt;4,-100,IF('路线模块库'!C21='游客输出器'!$B$8,20,-60)),IF(VALUE(RIGHT(B21,1))&lt;='游客输出器'!$B$4,0,-100))</x:f>
        <x:v>0</x:v>
      </x:c>
      <x:c r="I21" s="92" t="n">
        <x:f>'路线模块库'!V21</x:f>
        <x:v>99</x:v>
      </x:c>
      <x:c r="J21" s="92" t="n">
        <x:f>I21+E21*12+F21+G21+H21+'路线模块库'!U21*3+V21+ROW()/10000</x:f>
        <x:v>197.0021</x:v>
      </x:c>
      <x:c r="K21" s="92" t="n">
        <x:f>COUNTIFS($B$6:$B$29,B21,$J$6:$J$29,"&gt;"&amp;J21)+1</x:f>
        <x:v>1</x:v>
      </x:c>
      <x:c r="L21" s="92" t="str">
        <x:f>B21&amp;"-"&amp;K21</x:f>
        <x:v>D3-1</x:v>
      </x:c>
      <x:c r="M21" s="92" t="str">
        <x:f>IF(AND(K21&lt;='游客输出器'!$B$11,OR(B21&lt;&gt;"D4",'游客输出器'!$B$4=4)),"输出","不输出")</x:f>
        <x:v>输出</x:v>
      </x:c>
      <x:c r="N21" s="92" t="n">
        <x:f>IF('智能体会话输入'!$C$29&gt;=0.5,ROUND(('路线模块库'!AC21-3)*'智能体会话输入'!$B$29*'智能体会话输入'!$C$29*1.5,0),0)</x:f>
        <x:v>14</x:v>
      </x:c>
      <x:c r="O21" s="92" t="n">
        <x:f>IF('智能体会话输入'!$C$30&gt;=0.5,ROUND(('路线模块库'!AD21-3)*'智能体会话输入'!$B$30*'智能体会话输入'!$C$30*1.5,0),0)</x:f>
        <x:v>0</x:v>
      </x:c>
      <x:c r="P21" s="92" t="n">
        <x:f>IF('智能体会话输入'!$C$31&gt;=0.5,ROUND(('路线模块库'!AE21-3)*'智能体会话输入'!$B$31*'智能体会话输入'!$C$31*1.5,0),0)</x:f>
        <x:v>-5</x:v>
      </x:c>
      <x:c r="Q21" s="92" t="n">
        <x:f>IF('智能体会话输入'!$C$32&gt;=0.5,ROUND(('路线模块库'!AF21-3)*'智能体会话输入'!$B$32*'智能体会话输入'!$C$32*1.5,0),0)</x:f>
        <x:v>0</x:v>
      </x:c>
      <x:c r="R21" s="92" t="n">
        <x:f>IF('智能体会话输入'!$C$33&gt;=0.5,ROUND(('路线模块库'!AG21-3)*'智能体会话输入'!$B$33*'智能体会话输入'!$C$33*1.5,0),0)</x:f>
        <x:v>6</x:v>
      </x:c>
      <x:c r="S21" s="92" t="n">
        <x:f>IF('智能体会话输入'!$C$34&gt;=0.5,ROUND(('路线模块库'!AH21-3)*'智能体会话输入'!$B$34*'智能体会话输入'!$C$34*1.5,0),0)</x:f>
        <x:v>11</x:v>
      </x:c>
      <x:c r="T21" s="92" t="n">
        <x:f>IF('智能体会话输入'!$C$35&gt;=0.5,ROUND(('路线模块库'!AI21-3)*'智能体会话输入'!$B$35*'智能体会话输入'!$C$35*1.5,0),0)</x:f>
        <x:v>0</x:v>
      </x:c>
      <x:c r="U21" s="92" t="n">
        <x:f>IF('智能体会话输入'!$C$36&gt;=0.5,ROUND(('路线模块库'!AJ21-3)*'智能体会话输入'!$B$36*'智能体会话输入'!$C$36*1.5,0),0)</x:f>
        <x:v>0</x:v>
      </x:c>
      <x:c r="V21" s="92" t="n">
        <x:f>SUM(N21:U21)</x:f>
        <x:v>26</x:v>
      </x:c>
      <x:c r="W21" s="89" t="str">
        <x:f>IF(MAX(N21:U21)&lt;=0,"基础画像",IF(MAX(N21:U21)=N21,"视觉奇观",IF(MAX(N21:U21)=O21,"历史理解",IF(MAX(N21:U21)=P21,"在地生活",IF(MAX(N21:U21)=Q21,"饮食互动",IF(MAX(N21:U21)=R21,"低摩擦",IF(MAX(N21:U21)=S21,"摄影创作",IF(MAX(N21:U21)=T21,"亲子教育","复游新鲜感"))))))))</x:f>
        <x:v>视觉奇观</x:v>
      </x:c>
      <x:c r="X21" s="89" t="str">
        <x:f>IF('路线模块库'!AL21="无","可直接输出","需确认："&amp;'路线模块库'!AL21)</x:f>
        <x:v>需确认：是否晕车|拍摄目的</x:v>
      </x:c>
    </x:row>
    <x:row r="22" ht="38" customHeight="1">
      <x:c r="A22" s="89" t="str">
        <x:f>'路线模块库'!A22</x:f>
        <x:v>RM17</x:v>
      </x:c>
      <x:c r="B22" s="89" t="str">
        <x:f>'路线模块库'!B22</x:f>
        <x:v>D3</x:v>
      </x:c>
      <x:c r="C22" s="89" t="str">
        <x:f>'路线模块库'!D22</x:f>
        <x:v>鹅岭高点复盘</x:v>
      </x:c>
      <x:c r="D22" s="89" t="str">
        <x:f>'路线模块库'!E22</x:f>
        <x:v>核心解释</x:v>
      </x:c>
      <x:c r="E22" s="92" t="n">
        <x:f>IF('游客输出器'!$B$5="首次经典",'路线模块库'!O22,IF('游客输出器'!$B$5="赛博摄影",'路线模块库'!P22,IF('游客输出器'!$B$5="文化历史",'路线模块库'!Q22,IF('游客输出器'!$B$5="美食生活",'路线模块库'!R22,IF('游客输出器'!$B$5="亲子轻松",'路线模块库'!S22,'路线模块库'!T22)))))</x:f>
        <x:v>3</x:v>
      </x:c>
      <x:c r="F22" s="92" t="n">
        <x:f>IF('游客输出器'!$B$6="低",IF('路线模块库'!L22=3,-120,IF(AND('路线模块库'!L22=2,'路线模块库'!K22&gt;120),-30,IF('路线模块库'!L22=2,-15,0))),IF('游客输出器'!$B$6="中",IF('路线模块库'!L22=3,-12,0),0))</x:f>
        <x:v>-15</x:v>
      </x:c>
      <x:c r="G22" s="92" t="n">
        <x:f>IF('游客输出器'!$B$7="雨天",('路线模块库'!M22-3)*15,IF('游客输出器'!$B$7="炎热",('路线模块库'!N22-3)*12,0))</x:f>
        <x:v>0</x:v>
      </x:c>
      <x:c r="H22" s="92" t="n">
        <x:f>IF(B22="D4",IF('游客输出器'!$B$4&lt;4,-100,IF('路线模块库'!C22='游客输出器'!$B$8,20,-60)),IF(VALUE(RIGHT(B22,1))&lt;='游客输出器'!$B$4,0,-100))</x:f>
        <x:v>0</x:v>
      </x:c>
      <x:c r="I22" s="92" t="n">
        <x:f>'路线模块库'!V22</x:f>
        <x:v>63</x:v>
      </x:c>
      <x:c r="J22" s="92" t="n">
        <x:f>I22+E22*12+F22+G22+H22+'路线模块库'!U22*3+V22+ROW()/10000</x:f>
        <x:v>115.0022</x:v>
      </x:c>
      <x:c r="K22" s="92" t="n">
        <x:f>COUNTIFS($B$6:$B$29,B22,$J$6:$J$29,"&gt;"&amp;J22)+1</x:f>
        <x:v>5</x:v>
      </x:c>
      <x:c r="L22" s="92" t="str">
        <x:f>B22&amp;"-"&amp;K22</x:f>
        <x:v>D3-5</x:v>
      </x:c>
      <x:c r="M22" s="92" t="str">
        <x:f>IF(AND(K22&lt;='游客输出器'!$B$11,OR(B22&lt;&gt;"D4",'游客输出器'!$B$4=4)),"输出","不输出")</x:f>
        <x:v>不输出</x:v>
      </x:c>
      <x:c r="N22" s="92" t="n">
        <x:f>IF('智能体会话输入'!$C$29&gt;=0.5,ROUND(('路线模块库'!AC22-3)*'智能体会话输入'!$B$29*'智能体会话输入'!$C$29*1.5,0),0)</x:f>
        <x:v>7</x:v>
      </x:c>
      <x:c r="O22" s="92" t="n">
        <x:f>IF('智能体会话输入'!$C$30&gt;=0.5,ROUND(('路线模块库'!AD22-3)*'智能体会话输入'!$B$30*'智能体会话输入'!$C$30*1.5,0),0)</x:f>
        <x:v>0</x:v>
      </x:c>
      <x:c r="P22" s="92" t="n">
        <x:f>IF('智能体会话输入'!$C$31&gt;=0.5,ROUND(('路线模块库'!AE22-3)*'智能体会话输入'!$B$31*'智能体会话输入'!$C$31*1.5,0),0)</x:f>
        <x:v>5</x:v>
      </x:c>
      <x:c r="Q22" s="92" t="n">
        <x:f>IF('智能体会话输入'!$C$32&gt;=0.5,ROUND(('路线模块库'!AF22-3)*'智能体会话输入'!$B$32*'智能体会话输入'!$C$32*1.5,0),0)</x:f>
        <x:v>0</x:v>
      </x:c>
      <x:c r="R22" s="92" t="n">
        <x:f>IF('智能体会话输入'!$C$33&gt;=0.5,ROUND(('路线模块库'!AG22-3)*'智能体会话输入'!$B$33*'智能体会话输入'!$C$33*1.5,0),0)</x:f>
        <x:v>0</x:v>
      </x:c>
      <x:c r="S22" s="92" t="n">
        <x:f>IF('智能体会话输入'!$C$34&gt;=0.5,ROUND(('路线模块库'!AH22-3)*'智能体会话输入'!$B$34*'智能体会话输入'!$C$34*1.5,0),0)</x:f>
        <x:v>5</x:v>
      </x:c>
      <x:c r="T22" s="92" t="n">
        <x:f>IF('智能体会话输入'!$C$35&gt;=0.5,ROUND(('路线模块库'!AI22-3)*'智能体会话输入'!$B$35*'智能体会话输入'!$C$35*1.5,0),0)</x:f>
        <x:v>0</x:v>
      </x:c>
      <x:c r="U22" s="92" t="n">
        <x:f>IF('智能体会话输入'!$C$36&gt;=0.5,ROUND(('路线模块库'!AJ22-3)*'智能体会话输入'!$B$36*'智能体会话输入'!$C$36*1.5,0),0)</x:f>
        <x:v>5</x:v>
      </x:c>
      <x:c r="V22" s="92" t="n">
        <x:f>SUM(N22:U22)</x:f>
        <x:v>22</x:v>
      </x:c>
      <x:c r="W22" s="89" t="str">
        <x:f>IF(MAX(N22:U22)&lt;=0,"基础画像",IF(MAX(N22:U22)=N22,"视觉奇观",IF(MAX(N22:U22)=O22,"历史理解",IF(MAX(N22:U22)=P22,"在地生活",IF(MAX(N22:U22)=Q22,"饮食互动",IF(MAX(N22:U22)=R22,"低摩擦",IF(MAX(N22:U22)=S22,"摄影创作",IF(MAX(N22:U22)=T22,"亲子教育","复游新鲜感"))))))))</x:f>
        <x:v>视觉奇观</x:v>
      </x:c>
      <x:c r="X22" s="89" t="str">
        <x:f>IF('路线模块库'!AL22="无","可直接输出","需确认："&amp;'路线模块库'!AL22)</x:f>
        <x:v>需确认：天气能见度</x:v>
      </x:c>
    </x:row>
    <x:row r="23" ht="38" customHeight="1">
      <x:c r="A23" s="89" t="str">
        <x:f>'路线模块库'!A23</x:f>
        <x:v>RM18</x:v>
      </x:c>
      <x:c r="B23" s="89" t="str">
        <x:f>'路线模块库'!B23</x:f>
        <x:v>D3</x:v>
      </x:c>
      <x:c r="C23" s="89" t="str">
        <x:f>'路线模块库'!D23</x:f>
        <x:v>川剧或地方表演</x:v>
      </x:c>
      <x:c r="D23" s="89" t="str">
        <x:f>'路线模块库'!E23</x:f>
        <x:v>付费体验</x:v>
      </x:c>
      <x:c r="E23" s="92" t="n">
        <x:f>IF('游客输出器'!$B$5="首次经典",'路线模块库'!O23,IF('游客输出器'!$B$5="赛博摄影",'路线模块库'!P23,IF('游客输出器'!$B$5="文化历史",'路线模块库'!Q23,IF('游客输出器'!$B$5="美食生活",'路线模块库'!R23,IF('游客输出器'!$B$5="亲子轻松",'路线模块库'!S23,'路线模块库'!T23)))))</x:f>
        <x:v>2</x:v>
      </x:c>
      <x:c r="F23" s="92" t="n">
        <x:f>IF('游客输出器'!$B$6="低",IF('路线模块库'!L23=3,-120,IF(AND('路线模块库'!L23=2,'路线模块库'!K23&gt;120),-30,IF('路线模块库'!L23=2,-15,0))),IF('游客输出器'!$B$6="中",IF('路线模块库'!L23=3,-12,0),0))</x:f>
        <x:v>0</x:v>
      </x:c>
      <x:c r="G23" s="92" t="n">
        <x:f>IF('游客输出器'!$B$7="雨天",('路线模块库'!M23-3)*15,IF('游客输出器'!$B$7="炎热",('路线模块库'!N23-3)*12,0))</x:f>
        <x:v>0</x:v>
      </x:c>
      <x:c r="H23" s="92" t="n">
        <x:f>IF(B23="D4",IF('游客输出器'!$B$4&lt;4,-100,IF('路线模块库'!C23='游客输出器'!$B$8,20,-60)),IF(VALUE(RIGHT(B23,1))&lt;='游客输出器'!$B$4,0,-100))</x:f>
        <x:v>0</x:v>
      </x:c>
      <x:c r="I23" s="92" t="n">
        <x:f>'路线模块库'!V23</x:f>
        <x:v>50</x:v>
      </x:c>
      <x:c r="J23" s="92" t="n">
        <x:f>I23+E23*12+F23+G23+H23+'路线模块库'!U23*3+V23+ROW()/10000</x:f>
        <x:v>110.0023</x:v>
      </x:c>
      <x:c r="K23" s="92" t="n">
        <x:f>COUNTIFS($B$6:$B$29,B23,$J$6:$J$29,"&gt;"&amp;J23)+1</x:f>
        <x:v>6</x:v>
      </x:c>
      <x:c r="L23" s="92" t="str">
        <x:f>B23&amp;"-"&amp;K23</x:f>
        <x:v>D3-6</x:v>
      </x:c>
      <x:c r="M23" s="92" t="str">
        <x:f>IF(AND(K23&lt;='游客输出器'!$B$11,OR(B23&lt;&gt;"D4",'游客输出器'!$B$4=4)),"输出","不输出")</x:f>
        <x:v>不输出</x:v>
      </x:c>
      <x:c r="N23" s="92" t="n">
        <x:f>IF('智能体会话输入'!$C$29&gt;=0.5,ROUND(('路线模块库'!AC23-3)*'智能体会话输入'!$B$29*'智能体会话输入'!$C$29*1.5,0),0)</x:f>
        <x:v>0</x:v>
      </x:c>
      <x:c r="O23" s="92" t="n">
        <x:f>IF('智能体会话输入'!$C$30&gt;=0.5,ROUND(('路线模块库'!AD23-3)*'智能体会话输入'!$B$30*'智能体会话输入'!$C$30*1.5,0),0)</x:f>
        <x:v>0</x:v>
      </x:c>
      <x:c r="P23" s="92" t="n">
        <x:f>IF('智能体会话输入'!$C$31&gt;=0.5,ROUND(('路线模块库'!AE23-3)*'智能体会话输入'!$B$31*'智能体会话输入'!$C$31*1.5,0),0)</x:f>
        <x:v>5</x:v>
      </x:c>
      <x:c r="Q23" s="92" t="n">
        <x:f>IF('智能体会话输入'!$C$32&gt;=0.5,ROUND(('路线模块库'!AF23-3)*'智能体会话输入'!$B$32*'智能体会话输入'!$C$32*1.5,0),0)</x:f>
        <x:v>0</x:v>
      </x:c>
      <x:c r="R23" s="92" t="n">
        <x:f>IF('智能体会话输入'!$C$33&gt;=0.5,ROUND(('路线模块库'!AG23-3)*'智能体会话输入'!$B$33*'智能体会话输入'!$C$33*1.5,0),0)</x:f>
        <x:v>11</x:v>
      </x:c>
      <x:c r="S23" s="92" t="n">
        <x:f>IF('智能体会话输入'!$C$34&gt;=0.5,ROUND(('路线模块库'!AH23-3)*'智能体会话输入'!$B$34*'智能体会话输入'!$C$34*1.5,0),0)</x:f>
        <x:v>0</x:v>
      </x:c>
      <x:c r="T23" s="92" t="n">
        <x:f>IF('智能体会话输入'!$C$35&gt;=0.5,ROUND(('路线模块库'!AI23-3)*'智能体会话输入'!$B$35*'智能体会话输入'!$C$35*1.5,0),0)</x:f>
        <x:v>0</x:v>
      </x:c>
      <x:c r="U23" s="92" t="n">
        <x:f>IF('智能体会话输入'!$C$36&gt;=0.5,ROUND(('路线模块库'!AJ23-3)*'智能体会话输入'!$B$36*'智能体会话输入'!$C$36*1.5,0),0)</x:f>
        <x:v>5</x:v>
      </x:c>
      <x:c r="V23" s="92" t="n">
        <x:f>SUM(N23:U23)</x:f>
        <x:v>21</x:v>
      </x:c>
      <x:c r="W23" s="89" t="str">
        <x:f>IF(MAX(N23:U23)&lt;=0,"基础画像",IF(MAX(N23:U23)=N23,"视觉奇观",IF(MAX(N23:U23)=O23,"历史理解",IF(MAX(N23:U23)=P23,"在地生活",IF(MAX(N23:U23)=Q23,"饮食互动",IF(MAX(N23:U23)=R23,"低摩擦",IF(MAX(N23:U23)=S23,"摄影创作",IF(MAX(N23:U23)=T23,"亲子教育","复游新鲜感"))))))))</x:f>
        <x:v>低摩擦</x:v>
      </x:c>
      <x:c r="X23" s="89" t="str">
        <x:f>IF('路线模块库'!AL23="无","可直接输出","需确认："&amp;'路线模块库'!AL23)</x:f>
        <x:v>需确认：演出排期|儿童年龄|拍摄许可</x:v>
      </x:c>
    </x:row>
    <x:row r="24" ht="38" customHeight="1">
      <x:c r="A24" s="89" t="str">
        <x:f>'路线模块库'!A24</x:f>
        <x:v>RM19</x:v>
      </x:c>
      <x:c r="B24" s="89" t="str">
        <x:f>'路线模块库'!B24</x:f>
        <x:v>D4</x:v>
      </x:c>
      <x:c r="C24" s="89" t="str">
        <x:f>'路线模块库'!D24</x:f>
        <x:v>开埠遗址与南岸更新</x:v>
      </x:c>
      <x:c r="D24" s="89" t="str">
        <x:f>'路线模块库'!E24</x:f>
        <x:v>核心解释</x:v>
      </x:c>
      <x:c r="E24" s="92" t="n">
        <x:f>IF('游客输出器'!$B$5="首次经典",'路线模块库'!O24,IF('游客输出器'!$B$5="赛博摄影",'路线模块库'!P24,IF('游客输出器'!$B$5="文化历史",'路线模块库'!Q24,IF('游客输出器'!$B$5="美食生活",'路线模块库'!R24,IF('游客输出器'!$B$5="亲子轻松",'路线模块库'!S24,'路线模块库'!T24)))))</x:f>
        <x:v>3</x:v>
      </x:c>
      <x:c r="F24" s="92" t="n">
        <x:f>IF('游客输出器'!$B$6="低",IF('路线模块库'!L24=3,-120,IF(AND('路线模块库'!L24=2,'路线模块库'!K24&gt;120),-30,IF('路线模块库'!L24=2,-15,0))),IF('游客输出器'!$B$6="中",IF('路线模块库'!L24=3,-12,0),0))</x:f>
        <x:v>-30</x:v>
      </x:c>
      <x:c r="G24" s="92" t="n">
        <x:f>IF('游客输出器'!$B$7="雨天",('路线模块库'!M24-3)*15,IF('游客输出器'!$B$7="炎热",('路线模块库'!N24-3)*12,0))</x:f>
        <x:v>0</x:v>
      </x:c>
      <x:c r="H24" s="92" t="n">
        <x:f>IF(B24="D4",IF('游客输出器'!$B$4&lt;4,-100,IF('路线模块库'!C24='游客输出器'!$B$8,20,-60)),IF(VALUE(RIGHT(B24,1))&lt;='游客输出器'!$B$4,0,-100))</x:f>
        <x:v>-100</x:v>
      </x:c>
      <x:c r="I24" s="92" t="n">
        <x:f>'路线模块库'!V24</x:f>
        <x:v>92</x:v>
      </x:c>
      <x:c r="J24" s="92" t="n">
        <x:f>I24+E24*12+F24+G24+H24+'路线模块库'!U24*3+V24+ROW()/10000</x:f>
        <x:v>40.0024</x:v>
      </x:c>
      <x:c r="K24" s="92" t="n">
        <x:f>COUNTIFS($B$6:$B$29,B24,$J$6:$J$29,"&gt;"&amp;J24)+1</x:f>
        <x:v>1</x:v>
      </x:c>
      <x:c r="L24" s="92" t="str">
        <x:f>B24&amp;"-"&amp;K24</x:f>
        <x:v>D4-1</x:v>
      </x:c>
      <x:c r="M24" s="92" t="str">
        <x:f>IF(AND(K24&lt;='游客输出器'!$B$11,OR(B24&lt;&gt;"D4",'游客输出器'!$B$4=4)),"输出","不输出")</x:f>
        <x:v>不输出</x:v>
      </x:c>
      <x:c r="N24" s="92" t="n">
        <x:f>IF('智能体会话输入'!$C$29&gt;=0.5,ROUND(('路线模块库'!AC24-3)*'智能体会话输入'!$B$29*'智能体会话输入'!$C$29*1.5,0),0)</x:f>
        <x:v>7</x:v>
      </x:c>
      <x:c r="O24" s="92" t="n">
        <x:f>IF('智能体会话输入'!$C$30&gt;=0.5,ROUND(('路线模块库'!AD24-3)*'智能体会话输入'!$B$30*'智能体会话输入'!$C$30*1.5,0),0)</x:f>
        <x:v>0</x:v>
      </x:c>
      <x:c r="P24" s="92" t="n">
        <x:f>IF('智能体会话输入'!$C$31&gt;=0.5,ROUND(('路线模块库'!AE24-3)*'智能体会话输入'!$B$31*'智能体会话输入'!$C$31*1.5,0),0)</x:f>
        <x:v>5</x:v>
      </x:c>
      <x:c r="Q24" s="92" t="n">
        <x:f>IF('智能体会话输入'!$C$32&gt;=0.5,ROUND(('路线模块库'!AF24-3)*'智能体会话输入'!$B$32*'智能体会话输入'!$C$32*1.5,0),0)</x:f>
        <x:v>0</x:v>
      </x:c>
      <x:c r="R24" s="92" t="n">
        <x:f>IF('智能体会话输入'!$C$33&gt;=0.5,ROUND(('路线模块库'!AG24-3)*'智能体会话输入'!$B$33*'智能体会话输入'!$C$33*1.5,0),0)</x:f>
        <x:v>0</x:v>
      </x:c>
      <x:c r="S24" s="92" t="n">
        <x:f>IF('智能体会话输入'!$C$34&gt;=0.5,ROUND(('路线模块库'!AH24-3)*'智能体会话输入'!$B$34*'智能体会话输入'!$C$34*1.5,0),0)</x:f>
        <x:v>5</x:v>
      </x:c>
      <x:c r="T24" s="92" t="n">
        <x:f>IF('智能体会话输入'!$C$35&gt;=0.5,ROUND(('路线模块库'!AI24-3)*'智能体会话输入'!$B$35*'智能体会话输入'!$C$35*1.5,0),0)</x:f>
        <x:v>0</x:v>
      </x:c>
      <x:c r="U24" s="92" t="n">
        <x:f>IF('智能体会话输入'!$C$36&gt;=0.5,ROUND(('路线模块库'!AJ24-3)*'智能体会话输入'!$B$36*'智能体会话输入'!$C$36*1.5,0),0)</x:f>
        <x:v>10</x:v>
      </x:c>
      <x:c r="V24" s="92" t="n">
        <x:f>SUM(N24:U24)</x:f>
        <x:v>27</x:v>
      </x:c>
      <x:c r="W24" s="89" t="str">
        <x:f>IF(MAX(N24:U24)&lt;=0,"基础画像",IF(MAX(N24:U24)=N24,"视觉奇观",IF(MAX(N24:U24)=O24,"历史理解",IF(MAX(N24:U24)=P24,"在地生活",IF(MAX(N24:U24)=Q24,"饮食互动",IF(MAX(N24:U24)=R24,"低摩擦",IF(MAX(N24:U24)=S24,"摄影创作",IF(MAX(N24:U24)=T24,"亲子教育","复游新鲜感"))))))))</x:f>
        <x:v>复游新鲜感</x:v>
      </x:c>
      <x:c r="X24" s="89" t="str">
        <x:f>IF('路线模块库'!AL24="无","可直接输出","需确认："&amp;'路线模块库'!AL24)</x:f>
        <x:v>需确认：当天开放与施工</x:v>
      </x:c>
    </x:row>
    <x:row r="25" ht="38" customHeight="1">
      <x:c r="A25" s="89" t="str">
        <x:f>'路线模块库'!A25</x:f>
        <x:v>RM20</x:v>
      </x:c>
      <x:c r="B25" s="89" t="str">
        <x:f>'路线模块库'!B25</x:f>
        <x:v>D4</x:v>
      </x:c>
      <x:c r="C25" s="89" t="str">
        <x:f>'路线模块库'!D25</x:f>
        <x:v>黄葛古道下行</x:v>
      </x:c>
      <x:c r="D25" s="89" t="str">
        <x:f>'路线模块库'!E25</x:f>
        <x:v>核心解释</x:v>
      </x:c>
      <x:c r="E25" s="92" t="n">
        <x:f>IF('游客输出器'!$B$5="首次经典",'路线模块库'!O25,IF('游客输出器'!$B$5="赛博摄影",'路线模块库'!P25,IF('游客输出器'!$B$5="文化历史",'路线模块库'!Q25,IF('游客输出器'!$B$5="美食生活",'路线模块库'!R25,IF('游客输出器'!$B$5="亲子轻松",'路线模块库'!S25,'路线模块库'!T25)))))</x:f>
        <x:v>2</x:v>
      </x:c>
      <x:c r="F25" s="92" t="n">
        <x:f>IF('游客输出器'!$B$6="低",IF('路线模块库'!L25=3,-120,IF(AND('路线模块库'!L25=2,'路线模块库'!K25&gt;120),-30,IF('路线模块库'!L25=2,-15,0))),IF('游客输出器'!$B$6="中",IF('路线模块库'!L25=3,-12,0),0))</x:f>
        <x:v>-120</x:v>
      </x:c>
      <x:c r="G25" s="92" t="n">
        <x:f>IF('游客输出器'!$B$7="雨天",('路线模块库'!M25-3)*15,IF('游客输出器'!$B$7="炎热",('路线模块库'!N25-3)*12,0))</x:f>
        <x:v>0</x:v>
      </x:c>
      <x:c r="H25" s="92" t="n">
        <x:f>IF(B25="D4",IF('游客输出器'!$B$4&lt;4,-100,IF('路线模块库'!C25='游客输出器'!$B$8,20,-60)),IF(VALUE(RIGHT(B25,1))&lt;='游客输出器'!$B$4,0,-100))</x:f>
        <x:v>-100</x:v>
      </x:c>
      <x:c r="I25" s="92" t="n">
        <x:f>'路线模块库'!V25</x:f>
        <x:v>88</x:v>
      </x:c>
      <x:c r="J25" s="92" t="n">
        <x:f>I25+E25*12+F25+G25+H25+'路线模块库'!U25*3+V25+ROW()/10000</x:f>
        <x:v>-71.9975</x:v>
      </x:c>
      <x:c r="K25" s="92" t="n">
        <x:f>COUNTIFS($B$6:$B$29,B25,$J$6:$J$29,"&gt;"&amp;J25)+1</x:f>
        <x:v>6</x:v>
      </x:c>
      <x:c r="L25" s="92" t="str">
        <x:f>B25&amp;"-"&amp;K25</x:f>
        <x:v>D4-6</x:v>
      </x:c>
      <x:c r="M25" s="92" t="str">
        <x:f>IF(AND(K25&lt;='游客输出器'!$B$11,OR(B25&lt;&gt;"D4",'游客输出器'!$B$4=4)),"输出","不输出")</x:f>
        <x:v>不输出</x:v>
      </x:c>
      <x:c r="N25" s="92" t="n">
        <x:f>IF('智能体会话输入'!$C$29&gt;=0.5,ROUND(('路线模块库'!AC25-3)*'智能体会话输入'!$B$29*'智能体会话输入'!$C$29*1.5,0),0)</x:f>
        <x:v>7</x:v>
      </x:c>
      <x:c r="O25" s="92" t="n">
        <x:f>IF('智能体会话输入'!$C$30&gt;=0.5,ROUND(('路线模块库'!AD25-3)*'智能体会话输入'!$B$30*'智能体会话输入'!$C$30*1.5,0),0)</x:f>
        <x:v>0</x:v>
      </x:c>
      <x:c r="P25" s="92" t="n">
        <x:f>IF('智能体会话输入'!$C$31&gt;=0.5,ROUND(('路线模块库'!AE25-3)*'智能体会话输入'!$B$31*'智能体会话输入'!$C$31*1.5,0),0)</x:f>
        <x:v>10</x:v>
      </x:c>
      <x:c r="Q25" s="92" t="n">
        <x:f>IF('智能体会话输入'!$C$32&gt;=0.5,ROUND(('路线模块库'!AF25-3)*'智能体会话输入'!$B$32*'智能体会话输入'!$C$32*1.5,0),0)</x:f>
        <x:v>0</x:v>
      </x:c>
      <x:c r="R25" s="92" t="n">
        <x:f>IF('智能体会话输入'!$C$33&gt;=0.5,ROUND(('路线模块库'!AG25-3)*'智能体会话输入'!$B$33*'智能体会话输入'!$C$33*1.5,0),0)</x:f>
        <x:v>-11</x:v>
      </x:c>
      <x:c r="S25" s="92" t="n">
        <x:f>IF('智能体会话输入'!$C$34&gt;=0.5,ROUND(('路线模块库'!AH25-3)*'智能体会话输入'!$B$34*'智能体会话输入'!$C$34*1.5,0),0)</x:f>
        <x:v>5</x:v>
      </x:c>
      <x:c r="T25" s="92" t="n">
        <x:f>IF('智能体会话输入'!$C$35&gt;=0.5,ROUND(('路线模块库'!AI25-3)*'智能体会话输入'!$B$35*'智能体会话输入'!$C$35*1.5,0),0)</x:f>
        <x:v>0</x:v>
      </x:c>
      <x:c r="U25" s="92" t="n">
        <x:f>IF('智能体会话输入'!$C$36&gt;=0.5,ROUND(('路线模块库'!AJ25-3)*'智能体会话输入'!$B$36*'智能体会话输入'!$C$36*1.5,0),0)</x:f>
        <x:v>10</x:v>
      </x:c>
      <x:c r="V25" s="92" t="n">
        <x:f>SUM(N25:U25)</x:f>
        <x:v>21</x:v>
      </x:c>
      <x:c r="W25" s="89" t="str">
        <x:f>IF(MAX(N25:U25)&lt;=0,"基础画像",IF(MAX(N25:U25)=N25,"视觉奇观",IF(MAX(N25:U25)=O25,"历史理解",IF(MAX(N25:U25)=P25,"在地生活",IF(MAX(N25:U25)=Q25,"饮食互动",IF(MAX(N25:U25)=R25,"低摩擦",IF(MAX(N25:U25)=S25,"摄影创作",IF(MAX(N25:U25)=T25,"亲子教育","复游新鲜感"))))))))</x:f>
        <x:v>在地生活</x:v>
      </x:c>
      <x:c r="X25" s="89" t="str">
        <x:f>IF('路线模块库'!AL25="无","可直接输出","需确认："&amp;'路线模块库'!AL25)</x:f>
        <x:v>需确认：连续台阶能力|鞋具|天气</x:v>
      </x:c>
    </x:row>
    <x:row r="26" ht="38" customHeight="1">
      <x:c r="A26" s="89" t="str">
        <x:f>'路线模块库'!A26</x:f>
        <x:v>RM21</x:v>
      </x:c>
      <x:c r="B26" s="89" t="str">
        <x:f>'路线模块库'!B26</x:f>
        <x:v>D4</x:v>
      </x:c>
      <x:c r="C26" s="89" t="str">
        <x:f>'路线模块库'!D26</x:f>
        <x:v>南岸夜景收束</x:v>
      </x:c>
      <x:c r="D26" s="89" t="str">
        <x:f>'路线模块库'!E26</x:f>
        <x:v>引流钩子</x:v>
      </x:c>
      <x:c r="E26" s="92" t="n">
        <x:f>IF('游客输出器'!$B$5="首次经典",'路线模块库'!O26,IF('游客输出器'!$B$5="赛博摄影",'路线模块库'!P26,IF('游客输出器'!$B$5="文化历史",'路线模块库'!Q26,IF('游客输出器'!$B$5="美食生活",'路线模块库'!R26,IF('游客输出器'!$B$5="亲子轻松",'路线模块库'!S26,'路线模块库'!T26)))))</x:f>
        <x:v>3</x:v>
      </x:c>
      <x:c r="F26" s="92" t="n">
        <x:f>IF('游客输出器'!$B$6="低",IF('路线模块库'!L26=3,-120,IF(AND('路线模块库'!L26=2,'路线模块库'!K26&gt;120),-30,IF('路线模块库'!L26=2,-15,0))),IF('游客输出器'!$B$6="中",IF('路线模块库'!L26=3,-12,0),0))</x:f>
        <x:v>0</x:v>
      </x:c>
      <x:c r="G26" s="92" t="n">
        <x:f>IF('游客输出器'!$B$7="雨天",('路线模块库'!M26-3)*15,IF('游客输出器'!$B$7="炎热",('路线模块库'!N26-3)*12,0))</x:f>
        <x:v>0</x:v>
      </x:c>
      <x:c r="H26" s="92" t="n">
        <x:f>IF(B26="D4",IF('游客输出器'!$B$4&lt;4,-100,IF('路线模块库'!C26='游客输出器'!$B$8,20,-60)),IF(VALUE(RIGHT(B26,1))&lt;='游客输出器'!$B$4,0,-100))</x:f>
        <x:v>-100</x:v>
      </x:c>
      <x:c r="I26" s="92" t="n">
        <x:f>'路线模块库'!V26</x:f>
        <x:v>66</x:v>
      </x:c>
      <x:c r="J26" s="92" t="n">
        <x:f>I26+E26*12+F26+G26+H26+'路线模块库'!U26*3+V26+ROW()/10000</x:f>
        <x:v>34.0026</x:v>
      </x:c>
      <x:c r="K26" s="92" t="n">
        <x:f>COUNTIFS($B$6:$B$29,B26,$J$6:$J$29,"&gt;"&amp;J26)+1</x:f>
        <x:v>4</x:v>
      </x:c>
      <x:c r="L26" s="92" t="str">
        <x:f>B26&amp;"-"&amp;K26</x:f>
        <x:v>D4-4</x:v>
      </x:c>
      <x:c r="M26" s="92" t="str">
        <x:f>IF(AND(K26&lt;='游客输出器'!$B$11,OR(B26&lt;&gt;"D4",'游客输出器'!$B$4=4)),"输出","不输出")</x:f>
        <x:v>不输出</x:v>
      </x:c>
      <x:c r="N26" s="92" t="n">
        <x:f>IF('智能体会话输入'!$C$29&gt;=0.5,ROUND(('路线模块库'!AC26-3)*'智能体会话输入'!$B$29*'智能体会话输入'!$C$29*1.5,0),0)</x:f>
        <x:v>14</x:v>
      </x:c>
      <x:c r="O26" s="92" t="n">
        <x:f>IF('智能体会话输入'!$C$30&gt;=0.5,ROUND(('路线模块库'!AD26-3)*'智能体会话输入'!$B$30*'智能体会话输入'!$C$30*1.5,0),0)</x:f>
        <x:v>0</x:v>
      </x:c>
      <x:c r="P26" s="92" t="n">
        <x:f>IF('智能体会话输入'!$C$31&gt;=0.5,ROUND(('路线模块库'!AE26-3)*'智能体会话输入'!$B$31*'智能体会话输入'!$C$31*1.5,0),0)</x:f>
        <x:v>-5</x:v>
      </x:c>
      <x:c r="Q26" s="92" t="n">
        <x:f>IF('智能体会话输入'!$C$32&gt;=0.5,ROUND(('路线模块库'!AF26-3)*'智能体会话输入'!$B$32*'智能体会话输入'!$C$32*1.5,0),0)</x:f>
        <x:v>0</x:v>
      </x:c>
      <x:c r="R26" s="92" t="n">
        <x:f>IF('智能体会话输入'!$C$33&gt;=0.5,ROUND(('路线模块库'!AG26-3)*'智能体会话输入'!$B$33*'智能体会话输入'!$C$33*1.5,0),0)</x:f>
        <x:v>0</x:v>
      </x:c>
      <x:c r="S26" s="92" t="n">
        <x:f>IF('智能体会话输入'!$C$34&gt;=0.5,ROUND(('路线模块库'!AH26-3)*'智能体会话输入'!$B$34*'智能体会话输入'!$C$34*1.5,0),0)</x:f>
        <x:v>11</x:v>
      </x:c>
      <x:c r="T26" s="92" t="n">
        <x:f>IF('智能体会话输入'!$C$35&gt;=0.5,ROUND(('路线模块库'!AI26-3)*'智能体会话输入'!$B$35*'智能体会话输入'!$C$35*1.5,0),0)</x:f>
        <x:v>0</x:v>
      </x:c>
      <x:c r="U26" s="92" t="n">
        <x:f>IF('智能体会话输入'!$C$36&gt;=0.5,ROUND(('路线模块库'!AJ26-3)*'智能体会话输入'!$B$36*'智能体会话输入'!$C$36*1.5,0),0)</x:f>
        <x:v>0</x:v>
      </x:c>
      <x:c r="V26" s="92" t="n">
        <x:f>SUM(N26:U26)</x:f>
        <x:v>20</x:v>
      </x:c>
      <x:c r="W26" s="89" t="str">
        <x:f>IF(MAX(N26:U26)&lt;=0,"基础画像",IF(MAX(N26:U26)=N26,"视觉奇观",IF(MAX(N26:U26)=O26,"历史理解",IF(MAX(N26:U26)=P26,"在地生活",IF(MAX(N26:U26)=Q26,"饮食互动",IF(MAX(N26:U26)=R26,"低摩擦",IF(MAX(N26:U26)=S26,"摄影创作",IF(MAX(N26:U26)=T26,"亲子教育","复游新鲜感"))))))))</x:f>
        <x:v>视觉奇观</x:v>
      </x:c>
      <x:c r="X26" s="89" t="str">
        <x:f>IF('路线模块库'!AL26="无","可直接输出","需确认："&amp;'路线模块库'!AL26)</x:f>
        <x:v>需确认：夜间结束时间|排队容忍度</x:v>
      </x:c>
    </x:row>
    <x:row r="27" ht="38" customHeight="1">
      <x:c r="A27" s="89" t="str">
        <x:f>'路线模块库'!A27</x:f>
        <x:v>RM22</x:v>
      </x:c>
      <x:c r="B27" s="89" t="str">
        <x:f>'路线模块库'!B27</x:f>
        <x:v>D4</x:v>
      </x:c>
      <x:c r="C27" s="89" t="str">
        <x:f>'路线模块库'!D27</x:f>
        <x:v>艺术学院与社区表面</x:v>
      </x:c>
      <x:c r="D27" s="89" t="str">
        <x:f>'路线模块库'!E27</x:f>
        <x:v>核心解释</x:v>
      </x:c>
      <x:c r="E27" s="92" t="n">
        <x:f>IF('游客输出器'!$B$5="首次经典",'路线模块库'!O27,IF('游客输出器'!$B$5="赛博摄影",'路线模块库'!P27,IF('游客输出器'!$B$5="文化历史",'路线模块库'!Q27,IF('游客输出器'!$B$5="美食生活",'路线模块库'!R27,IF('游客输出器'!$B$5="亲子轻松",'路线模块库'!S27,'路线模块库'!T27)))))</x:f>
        <x:v>2</x:v>
      </x:c>
      <x:c r="F27" s="92" t="n">
        <x:f>IF('游客输出器'!$B$6="低",IF('路线模块库'!L27=3,-120,IF(AND('路线模块库'!L27=2,'路线模块库'!K27&gt;120),-30,IF('路线模块库'!L27=2,-15,0))),IF('游客输出器'!$B$6="中",IF('路线模块库'!L27=3,-12,0),0))</x:f>
        <x:v>-15</x:v>
      </x:c>
      <x:c r="G27" s="92" t="n">
        <x:f>IF('游客输出器'!$B$7="雨天",('路线模块库'!M27-3)*15,IF('游客输出器'!$B$7="炎热",('路线模块库'!N27-3)*12,0))</x:f>
        <x:v>0</x:v>
      </x:c>
      <x:c r="H27" s="92" t="n">
        <x:f>IF(B27="D4",IF('游客输出器'!$B$4&lt;4,-100,IF('路线模块库'!C27='游客输出器'!$B$8,20,-60)),IF(VALUE(RIGHT(B27,1))&lt;='游客输出器'!$B$4,0,-100))</x:f>
        <x:v>-100</x:v>
      </x:c>
      <x:c r="I27" s="92" t="n">
        <x:f>'路线模块库'!V27</x:f>
        <x:v>78</x:v>
      </x:c>
      <x:c r="J27" s="92" t="n">
        <x:f>I27+E27*12+F27+G27+H27+'路线模块库'!U27*3+V27+ROW()/10000</x:f>
        <x:v>37.0027</x:v>
      </x:c>
      <x:c r="K27" s="92" t="n">
        <x:f>COUNTIFS($B$6:$B$29,B27,$J$6:$J$29,"&gt;"&amp;J27)+1</x:f>
        <x:v>2</x:v>
      </x:c>
      <x:c r="L27" s="92" t="str">
        <x:f>B27&amp;"-"&amp;K27</x:f>
        <x:v>D4-2</x:v>
      </x:c>
      <x:c r="M27" s="92" t="str">
        <x:f>IF(AND(K27&lt;='游客输出器'!$B$11,OR(B27&lt;&gt;"D4",'游客输出器'!$B$4=4)),"输出","不输出")</x:f>
        <x:v>不输出</x:v>
      </x:c>
      <x:c r="N27" s="92" t="n">
        <x:f>IF('智能体会话输入'!$C$29&gt;=0.5,ROUND(('路线模块库'!AC27-3)*'智能体会话输入'!$B$29*'智能体会话输入'!$C$29*1.5,0),0)</x:f>
        <x:v>7</x:v>
      </x:c>
      <x:c r="O27" s="92" t="n">
        <x:f>IF('智能体会话输入'!$C$30&gt;=0.5,ROUND(('路线模块库'!AD27-3)*'智能体会话输入'!$B$30*'智能体会话输入'!$C$30*1.5,0),0)</x:f>
        <x:v>0</x:v>
      </x:c>
      <x:c r="P27" s="92" t="n">
        <x:f>IF('智能体会话输入'!$C$31&gt;=0.5,ROUND(('路线模块库'!AE27-3)*'智能体会话输入'!$B$31*'智能体会话输入'!$C$31*1.5,0),0)</x:f>
        <x:v>10</x:v>
      </x:c>
      <x:c r="Q27" s="92" t="n">
        <x:f>IF('智能体会话输入'!$C$32&gt;=0.5,ROUND(('路线模块库'!AF27-3)*'智能体会话输入'!$B$32*'智能体会话输入'!$C$32*1.5,0),0)</x:f>
        <x:v>0</x:v>
      </x:c>
      <x:c r="R27" s="92" t="n">
        <x:f>IF('智能体会话输入'!$C$33&gt;=0.5,ROUND(('路线模块库'!AG27-3)*'智能体会话输入'!$B$33*'智能体会话输入'!$C$33*1.5,0),0)</x:f>
        <x:v>0</x:v>
      </x:c>
      <x:c r="S27" s="92" t="n">
        <x:f>IF('智能体会话输入'!$C$34&gt;=0.5,ROUND(('路线模块库'!AH27-3)*'智能体会话输入'!$B$34*'智能体会话输入'!$C$34*1.5,0),0)</x:f>
        <x:v>11</x:v>
      </x:c>
      <x:c r="T27" s="92" t="n">
        <x:f>IF('智能体会话输入'!$C$35&gt;=0.5,ROUND(('路线模块库'!AI27-3)*'智能体会话输入'!$B$35*'智能体会话输入'!$C$35*1.5,0),0)</x:f>
        <x:v>0</x:v>
      </x:c>
      <x:c r="U27" s="92" t="n">
        <x:f>IF('智能体会话输入'!$C$36&gt;=0.5,ROUND(('路线模块库'!AJ27-3)*'智能体会话输入'!$B$36*'智能体会话输入'!$C$36*1.5,0),0)</x:f>
        <x:v>10</x:v>
      </x:c>
      <x:c r="V27" s="92" t="n">
        <x:f>SUM(N27:U27)</x:f>
        <x:v>38</x:v>
      </x:c>
      <x:c r="W27" s="89" t="str">
        <x:f>IF(MAX(N27:U27)&lt;=0,"基础画像",IF(MAX(N27:U27)=N27,"视觉奇观",IF(MAX(N27:U27)=O27,"历史理解",IF(MAX(N27:U27)=P27,"在地生活",IF(MAX(N27:U27)=Q27,"饮食互动",IF(MAX(N27:U27)=R27,"低摩擦",IF(MAX(N27:U27)=S27,"摄影创作",IF(MAX(N27:U27)=T27,"亲子教育","复游新鲜感"))))))))</x:f>
        <x:v>摄影创作</x:v>
      </x:c>
      <x:c r="X27" s="89" t="str">
        <x:f>IF('路线模块库'!AL27="无","可直接输出","需确认："&amp;'路线模块库'!AL27)</x:f>
        <x:v>需确认：拍摄用途|展览开放</x:v>
      </x:c>
    </x:row>
    <x:row r="28" ht="38" customHeight="1">
      <x:c r="A28" s="89" t="str">
        <x:f>'路线模块库'!A28</x:f>
        <x:v>RM23</x:v>
      </x:c>
      <x:c r="B28" s="89" t="str">
        <x:f>'路线模块库'!B28</x:f>
        <x:v>D4</x:v>
      </x:c>
      <x:c r="C28" s="89" t="str">
        <x:f>'路线模块库'!D28</x:f>
        <x:v>茶馆社会空间</x:v>
      </x:c>
      <x:c r="D28" s="89" t="str">
        <x:f>'路线模块库'!E28</x:f>
        <x:v>真实生活/付费体验</x:v>
      </x:c>
      <x:c r="E28" s="92" t="n">
        <x:f>IF('游客输出器'!$B$5="首次经典",'路线模块库'!O28,IF('游客输出器'!$B$5="赛博摄影",'路线模块库'!P28,IF('游客输出器'!$B$5="文化历史",'路线模块库'!Q28,IF('游客输出器'!$B$5="美食生活",'路线模块库'!R28,IF('游客输出器'!$B$5="亲子轻松",'路线模块库'!S28,'路线模块库'!T28)))))</x:f>
        <x:v>2</x:v>
      </x:c>
      <x:c r="F28" s="92" t="n">
        <x:f>IF('游客输出器'!$B$6="低",IF('路线模块库'!L28=3,-120,IF(AND('路线模块库'!L28=2,'路线模块库'!K28&gt;120),-30,IF('路线模块库'!L28=2,-15,0))),IF('游客输出器'!$B$6="中",IF('路线模块库'!L28=3,-12,0),0))</x:f>
        <x:v>0</x:v>
      </x:c>
      <x:c r="G28" s="92" t="n">
        <x:f>IF('游客输出器'!$B$7="雨天",('路线模块库'!M28-3)*15,IF('游客输出器'!$B$7="炎热",('路线模块库'!N28-3)*12,0))</x:f>
        <x:v>0</x:v>
      </x:c>
      <x:c r="H28" s="92" t="n">
        <x:f>IF(B28="D4",IF('游客输出器'!$B$4&lt;4,-100,IF('路线模块库'!C28='游客输出器'!$B$8,20,-60)),IF(VALUE(RIGHT(B28,1))&lt;='游客输出器'!$B$4,0,-100))</x:f>
        <x:v>-100</x:v>
      </x:c>
      <x:c r="I28" s="92" t="n">
        <x:f>'路线模块库'!V28</x:f>
        <x:v>72</x:v>
      </x:c>
      <x:c r="J28" s="92" t="n">
        <x:f>I28+E28*12+F28+G28+H28+'路线模块库'!U28*3+V28+ROW()/10000</x:f>
        <x:v>29.0028</x:v>
      </x:c>
      <x:c r="K28" s="92" t="n">
        <x:f>COUNTIFS($B$6:$B$29,B28,$J$6:$J$29,"&gt;"&amp;J28)+1</x:f>
        <x:v>5</x:v>
      </x:c>
      <x:c r="L28" s="92" t="str">
        <x:f>B28&amp;"-"&amp;K28</x:f>
        <x:v>D4-5</x:v>
      </x:c>
      <x:c r="M28" s="92" t="str">
        <x:f>IF(AND(K28&lt;='游客输出器'!$B$11,OR(B28&lt;&gt;"D4",'游客输出器'!$B$4=4)),"输出","不输出")</x:f>
        <x:v>不输出</x:v>
      </x:c>
      <x:c r="N28" s="92" t="n">
        <x:f>IF('智能体会话输入'!$C$29&gt;=0.5,ROUND(('路线模块库'!AC28-3)*'智能体会话输入'!$B$29*'智能体会话输入'!$C$29*1.5,0),0)</x:f>
        <x:v>-7</x:v>
      </x:c>
      <x:c r="O28" s="92" t="n">
        <x:f>IF('智能体会话输入'!$C$30&gt;=0.5,ROUND(('路线模块库'!AD28-3)*'智能体会话输入'!$B$30*'智能体会话输入'!$C$30*1.5,0),0)</x:f>
        <x:v>0</x:v>
      </x:c>
      <x:c r="P28" s="92" t="n">
        <x:f>IF('智能体会话输入'!$C$31&gt;=0.5,ROUND(('路线模块库'!AE28-3)*'智能体会话输入'!$B$31*'智能体会话输入'!$C$31*1.5,0),0)</x:f>
        <x:v>10</x:v>
      </x:c>
      <x:c r="Q28" s="92" t="n">
        <x:f>IF('智能体会话输入'!$C$32&gt;=0.5,ROUND(('路线模块库'!AF28-3)*'智能体会话输入'!$B$32*'智能体会话输入'!$C$32*1.5,0),0)</x:f>
        <x:v>0</x:v>
      </x:c>
      <x:c r="R28" s="92" t="n">
        <x:f>IF('智能体会话输入'!$C$33&gt;=0.5,ROUND(('路线模块库'!AG28-3)*'智能体会话输入'!$B$33*'智能体会话输入'!$C$33*1.5,0),0)</x:f>
        <x:v>0</x:v>
      </x:c>
      <x:c r="S28" s="92" t="n">
        <x:f>IF('智能体会话输入'!$C$34&gt;=0.5,ROUND(('路线模块库'!AH28-3)*'智能体会话输入'!$B$34*'智能体会话输入'!$C$34*1.5,0),0)</x:f>
        <x:v>5</x:v>
      </x:c>
      <x:c r="T28" s="92" t="n">
        <x:f>IF('智能体会话输入'!$C$35&gt;=0.5,ROUND(('路线模块库'!AI28-3)*'智能体会话输入'!$B$35*'智能体会话输入'!$C$35*1.5,0),0)</x:f>
        <x:v>0</x:v>
      </x:c>
      <x:c r="U28" s="92" t="n">
        <x:f>IF('智能体会话输入'!$C$36&gt;=0.5,ROUND(('路线模块库'!AJ28-3)*'智能体会话输入'!$B$36*'智能体会话输入'!$C$36*1.5,0),0)</x:f>
        <x:v>10</x:v>
      </x:c>
      <x:c r="V28" s="92" t="n">
        <x:f>SUM(N28:U28)</x:f>
        <x:v>18</x:v>
      </x:c>
      <x:c r="W28" s="89" t="str">
        <x:f>IF(MAX(N28:U28)&lt;=0,"基础画像",IF(MAX(N28:U28)=N28,"视觉奇观",IF(MAX(N28:U28)=O28,"历史理解",IF(MAX(N28:U28)=P28,"在地生活",IF(MAX(N28:U28)=Q28,"饮食互动",IF(MAX(N28:U28)=R28,"低摩擦",IF(MAX(N28:U28)=S28,"摄影创作",IF(MAX(N28:U28)=T28,"亲子教育","复游新鲜感"))))))))</x:f>
        <x:v>在地生活</x:v>
      </x:c>
      <x:c r="X28" s="89" t="str">
        <x:f>IF('路线模块库'!AL28="无","可直接输出","需确认："&amp;'路线模块库'!AL28)</x:f>
        <x:v>需确认：拍摄许可|人数|价格|社交边界</x:v>
      </x:c>
    </x:row>
    <x:row r="29" ht="38" customHeight="1">
      <x:c r="A29" s="90" t="str">
        <x:f>'路线模块库'!A29</x:f>
        <x:v>RM24</x:v>
      </x:c>
      <x:c r="B29" s="90" t="str">
        <x:f>'路线模块库'!B29</x:f>
        <x:v>D4</x:v>
      </x:c>
      <x:c r="C29" s="90" t="str">
        <x:f>'路线模块库'!D29</x:f>
        <x:v>防空洞、工业与博物馆</x:v>
      </x:c>
      <x:c r="D29" s="90" t="str">
        <x:f>'路线模块库'!E29</x:f>
        <x:v>核心解释</x:v>
      </x:c>
      <x:c r="E29" s="93" t="n">
        <x:f>IF('游客输出器'!$B$5="首次经典",'路线模块库'!O29,IF('游客输出器'!$B$5="赛博摄影",'路线模块库'!P29,IF('游客输出器'!$B$5="文化历史",'路线模块库'!Q29,IF('游客输出器'!$B$5="美食生活",'路线模块库'!R29,IF('游客输出器'!$B$5="亲子轻松",'路线模块库'!S29,'路线模块库'!T29)))))</x:f>
        <x:v>3</x:v>
      </x:c>
      <x:c r="F29" s="93" t="n">
        <x:f>IF('游客输出器'!$B$6="低",IF('路线模块库'!L29=3,-120,IF(AND('路线模块库'!L29=2,'路线模块库'!K29&gt;120),-30,IF('路线模块库'!L29=2,-15,0))),IF('游客输出器'!$B$6="中",IF('路线模块库'!L29=3,-12,0),0))</x:f>
        <x:v>-30</x:v>
      </x:c>
      <x:c r="G29" s="93" t="n">
        <x:f>IF('游客输出器'!$B$7="雨天",('路线模块库'!M29-3)*15,IF('游客输出器'!$B$7="炎热",('路线模块库'!N29-3)*12,0))</x:f>
        <x:v>0</x:v>
      </x:c>
      <x:c r="H29" s="93" t="n">
        <x:f>IF(B29="D4",IF('游客输出器'!$B$4&lt;4,-100,IF('路线模块库'!C29='游客输出器'!$B$8,20,-60)),IF(VALUE(RIGHT(B29,1))&lt;='游客输出器'!$B$4,0,-100))</x:f>
        <x:v>-100</x:v>
      </x:c>
      <x:c r="I29" s="93" t="n">
        <x:f>'路线模块库'!V29</x:f>
        <x:v>86</x:v>
      </x:c>
      <x:c r="J29" s="93" t="n">
        <x:f>I29+E29*12+F29+G29+H29+'路线模块库'!U29*3+V29+ROW()/10000</x:f>
        <x:v>35.0029</x:v>
      </x:c>
      <x:c r="K29" s="93" t="n">
        <x:f>COUNTIFS($B$6:$B$29,B29,$J$6:$J$29,"&gt;"&amp;J29)+1</x:f>
        <x:v>3</x:v>
      </x:c>
      <x:c r="L29" s="93" t="str">
        <x:f>B29&amp;"-"&amp;K29</x:f>
        <x:v>D4-3</x:v>
      </x:c>
      <x:c r="M29" s="93" t="str">
        <x:f>IF(AND(K29&lt;='游客输出器'!$B$11,OR(B29&lt;&gt;"D4",'游客输出器'!$B$4=4)),"输出","不输出")</x:f>
        <x:v>不输出</x:v>
      </x:c>
      <x:c r="N29" s="93" t="n">
        <x:f>IF('智能体会话输入'!$C$29&gt;=0.5,ROUND(('路线模块库'!AC29-3)*'智能体会话输入'!$B$29*'智能体会话输入'!$C$29*1.5,0),0)</x:f>
        <x:v>7</x:v>
      </x:c>
      <x:c r="O29" s="93" t="n">
        <x:f>IF('智能体会话输入'!$C$30&gt;=0.5,ROUND(('路线模块库'!AD29-3)*'智能体会话输入'!$B$30*'智能体会话输入'!$C$30*1.5,0),0)</x:f>
        <x:v>0</x:v>
      </x:c>
      <x:c r="P29" s="93" t="n">
        <x:f>IF('智能体会话输入'!$C$31&gt;=0.5,ROUND(('路线模块库'!AE29-3)*'智能体会话输入'!$B$31*'智能体会话输入'!$C$31*1.5,0),0)</x:f>
        <x:v>0</x:v>
      </x:c>
      <x:c r="Q29" s="93" t="n">
        <x:f>IF('智能体会话输入'!$C$32&gt;=0.5,ROUND(('路线模块库'!AF29-3)*'智能体会话输入'!$B$32*'智能体会话输入'!$C$32*1.5,0),0)</x:f>
        <x:v>0</x:v>
      </x:c>
      <x:c r="R29" s="93" t="n">
        <x:f>IF('智能体会话输入'!$C$33&gt;=0.5,ROUND(('路线模块库'!AG29-3)*'智能体会话输入'!$B$33*'智能体会话输入'!$C$33*1.5,0),0)</x:f>
        <x:v>6</x:v>
      </x:c>
      <x:c r="S29" s="93" t="n">
        <x:f>IF('智能体会话输入'!$C$34&gt;=0.5,ROUND(('路线模块库'!AH29-3)*'智能体会话输入'!$B$34*'智能体会话输入'!$C$34*1.5,0),0)</x:f>
        <x:v>5</x:v>
      </x:c>
      <x:c r="T29" s="93" t="n">
        <x:f>IF('智能体会话输入'!$C$35&gt;=0.5,ROUND(('路线模块库'!AI29-3)*'智能体会话输入'!$B$35*'智能体会话输入'!$C$35*1.5,0),0)</x:f>
        <x:v>0</x:v>
      </x:c>
      <x:c r="U29" s="93" t="n">
        <x:f>IF('智能体会话输入'!$C$36&gt;=0.5,ROUND(('路线模块库'!AJ29-3)*'智能体会话输入'!$B$36*'智能体会话输入'!$C$36*1.5,0),0)</x:f>
        <x:v>10</x:v>
      </x:c>
      <x:c r="V29" s="93" t="n">
        <x:f>SUM(N29:U29)</x:f>
        <x:v>28</x:v>
      </x:c>
      <x:c r="W29" s="90" t="str">
        <x:f>IF(MAX(N29:U29)&lt;=0,"基础画像",IF(MAX(N29:U29)=N29,"视觉奇观",IF(MAX(N29:U29)=O29,"历史理解",IF(MAX(N29:U29)=P29,"在地生活",IF(MAX(N29:U29)=Q29,"饮食互动",IF(MAX(N29:U29)=R29,"低摩擦",IF(MAX(N29:U29)=S29,"摄影创作",IF(MAX(N29:U29)=T29,"亲子教育","复游新鲜感"))))))))</x:f>
        <x:v>复游新鲜感</x:v>
      </x:c>
      <x:c r="X29" s="90" t="str">
        <x:f>IF('路线模块库'!AL29="无","可直接输出","需确认："&amp;'路线模块库'!AL29)</x:f>
        <x:v>需确认：开放时间|英语支持</x:v>
      </x:c>
    </x:row>
  </x:sheetData>
  <x:mergeCells>
    <x:mergeCell ref="A1:X1"/>
    <x:mergeCell ref="A2:X2"/>
  </x:mergeCells>
  <x:conditionalFormatting sqref="J6:J29">
    <x:cfRule type="dataBar" priority="1">
      <x:dataBar>
        <x:cfvo type="min"/>
        <x:cfvo type="max"/>
        <x:color rgb="FF2E7D72"/>
      </x:dataBar>
      <x:extLst>
        <x:ext xmlns:x14="http://schemas.microsoft.com/office/spreadsheetml/2009/9/main" uri="{B025F937-C7B1-47D3-B67F-A62EFF666E3E}">
          <x14:id>{CD6E14CF-21D6-2DB5-1B24-D2E6B5105761}</x14:id>
        </x:ext>
      </x:extLst>
    </x:cfRule>
  </x:conditionalFormatting>
  <x:conditionalFormatting sqref="N6:U29">
    <x:cfRule type="colorScale" priority="2">
      <x:colorScale>
        <x:cfvo type="min"/>
        <x:cfvo type="percentile" val="50"/>
        <x:cfvo type="max"/>
        <x:color rgb="FFFBE5E5"/>
        <x:color rgb="FFFFF1D6"/>
        <x:color rgb="FFE3F1EA"/>
      </x:colorScale>
    </x:cfRule>
  </x:conditionalFormatting>
  <x:conditionalFormatting sqref="M6:M29">
    <x:cfRule type="containsText" dxfId="16" priority="3" operator="containsText" text="输出"/>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D6E14CF-21D6-2DB5-1B24-D2E6B5105761}">
            <x14:dataBar gradient="1">
              <x14:cfvo type="min"/>
              <x14:cfvo type="max"/>
              <x14:fillColor rgb="FF2E7D72"/>
            </x14:dataBar>
          </x14:cfRule>
          <xm:sqref>J6:J29</xm:sqref>
        </x14:conditionalFormatting>
      </x14:conditionalFormattings>
    </x:ext>
  </x:extLst>
</x:worksheet>
</file>

<file path=xl/worksheets/sheet22.xml><?xml version="1.0" encoding="utf-8"?>
<x:worksheet xmlns:x="http://schemas.openxmlformats.org/spreadsheetml/2006/main">
  <x:sheetViews>
    <x:sheetView showGridLines="0" workbookViewId="0"/>
  </x:sheetViews>
  <x:sheetFormatPr defaultRowHeight="15"/>
  <x:cols>
    <x:col min="1" max="1" width="11" hidden="0" customWidth="1"/>
    <x:col min="2" max="2" width="45" hidden="0" customWidth="1"/>
    <x:col min="3" max="3" width="47" hidden="0" customWidth="1"/>
    <x:col min="4" max="4" width="39" hidden="0" customWidth="1"/>
    <x:col min="5" max="5" width="34" hidden="0" customWidth="1"/>
    <x:col min="6" max="6" width="42" hidden="0" customWidth="1"/>
  </x:cols>
  <x:sheetData>
    <x:row r="1" ht="32" customHeight="1">
      <x:c r="A1" s="3" t="str">
        <x:v>对话测试集｜验证智能体是否真正理解客户</x:v>
      </x:c>
      <x:c r="B1" s="3"/>
      <x:c r="C1" s="3"/>
      <x:c r="D1" s="3"/>
      <x:c r="E1" s="3"/>
      <x:c r="F1" s="3"/>
    </x:row>
    <x:row r="2" ht="30" customHeight="1">
      <x:c r="A2" s="7" t="str">
        <x:v>这些不是文案示例，而是回归测试。每次修改提示词、信号库或排序规则后，都应检查应识别、应追问、应检索和禁止推断是否仍成立。</x:v>
      </x:c>
      <x:c r="B2" s="7"/>
      <x:c r="C2" s="7"/>
      <x:c r="D2" s="7"/>
      <x:c r="E2" s="7"/>
      <x:c r="F2" s="7"/>
    </x:row>
    <x:row r="5" ht="34" customHeight="1">
      <x:c r="A5" s="11" t="str">
        <x:v>测试ID</x:v>
      </x:c>
      <x:c r="B5" s="11" t="str">
        <x:v>客户对话</x:v>
      </x:c>
      <x:c r="C5" s="11" t="str">
        <x:v>应识别的旅行者状态</x:v>
      </x:c>
      <x:c r="D5" s="11" t="str">
        <x:v>必须追问</x:v>
      </x:c>
      <x:c r="E5" s="11" t="str">
        <x:v>预期优先模块</x:v>
      </x:c>
      <x:c r="F5" s="11" t="str">
        <x:v>禁止推断/失败条件</x:v>
      </x:c>
    </x:row>
    <x:row r="6" ht="72" customHeight="1">
      <x:c r="A6" s="19" t="str">
        <x:v>TC01</x:v>
      </x:c>
      <x:c r="B6" s="19" t="str">
        <x:v>第一次来，3天，和妈妈，不想太累，想拍特别的城市感，也不想全是网红。</x:v>
      </x:c>
      <x:c r="C6" s="19" t="str">
        <x:v>显性：3天/首访/与妈妈；潜意图：视觉5、低摩擦5、摄影4、在地4、新鲜感4</x:v>
      </x:c>
      <x:c r="D6" s="19" t="str">
        <x:v>确认台阶能力与抵离时间</x:v>
      </x:c>
      <x:c r="E6" s="19" t="str">
        <x:v>RM02|RM04|RM16|RM13|RM07</x:v>
      </x:c>
      <x:c r="F6" s="19" t="str">
        <x:v>自动判定妈妈行动不便；删除全部经典点</x:v>
      </x:c>
    </x:row>
    <x:row r="7" ht="72" customHeight="1">
      <x:c r="A7" s="20" t="str">
        <x:v>TC02</x:v>
      </x:c>
      <x:c r="B7" s="20" t="str">
        <x:v>洪崖洞李子坝都去过。这次想了解开埠和普通人的生活，不爱排队。</x:v>
      </x:c>
      <x:c r="C7" s="20" t="str">
        <x:v>显性：复游/已去经典/不排队；潜意图：历史5、在地5、新鲜感5、低摩擦4</x:v>
      </x:c>
      <x:c r="D7" s="20" t="str">
        <x:v>确认体力和酒店区域</x:v>
      </x:c>
      <x:c r="E7" s="20" t="str">
        <x:v>RM08|RM19|RM22|RM23|RM24</x:v>
      </x:c>
      <x:c r="F7" s="20" t="str">
        <x:v>再次给完整首访线；承诺进入私人住宅</x:v>
      </x:c>
    </x:row>
    <x:row r="8" ht="72" customHeight="1">
      <x:c r="A8" s="20" t="str">
        <x:v>TC03</x:v>
      </x:c>
      <x:c r="B8" s="20" t="str">
        <x:v>I have two days to film Chongqing for YouTube. Cyberpunk visuals matter most.</x:v>
      </x:c>
      <x:c r="C8" s="20" t="str">
        <x:v>显性：2天/商业内容；潜意图：视觉5、摄影5</x:v>
      </x:c>
      <x:c r="D8" s="20" t="str">
        <x:v>确认商业用途、设备、团队、许可和夜间时段</x:v>
      </x:c>
      <x:c r="E8" s="20" t="str">
        <x:v>RM02|RM04|RM16|RM17</x:v>
      </x:c>
      <x:c r="F8" s="20" t="str">
        <x:v>把普通游客拍摄规则用于商业拍摄</x:v>
      </x:c>
    </x:row>
    <x:row r="9" ht="72" customHeight="1">
      <x:c r="A9" s="20" t="str">
        <x:v>TC04</x:v>
      </x:c>
      <x:c r="B9" s="20" t="str">
        <x:v>带8岁孩子，雨天，不吃辣，孩子喜欢火车和博物馆。</x:v>
      </x:c>
      <x:c r="C9" s="20" t="str">
        <x:v>显性：亲子/8岁/雨天/不吃辣；潜意图：亲子5、低摩擦5、历史3</x:v>
      </x:c>
      <x:c r="D9" s="20" t="str">
        <x:v>确认是否过敏以及可接受室外时间</x:v>
      </x:c>
      <x:c r="E9" s="20" t="str">
        <x:v>RM13|RM16|RM18|RM05</x:v>
      </x:c>
      <x:c r="F9" s="20" t="str">
        <x:v>因不吃辣删除全部饮食文化；安排长步道</x:v>
      </x:c>
    </x:row>
    <x:row r="10" ht="72" customHeight="1">
      <x:c r="A10" s="20" t="str">
        <x:v>TC05</x:v>
      </x:c>
      <x:c r="B10" s="20" t="str">
        <x:v>预算没问题，想要小众、真实，不想被推销。你直接安排。</x:v>
      </x:c>
      <x:c r="C10" s="20" t="str">
        <x:v>显性：付费态度/反推销；潜意图：在地5、新鲜感5、信任与决策疲劳</x:v>
      </x:c>
      <x:c r="D10" s="20" t="str">
        <x:v>问更愿意为省时、专家还是独家体验付费；确认社交边界</x:v>
      </x:c>
      <x:c r="E10" s="20" t="str">
        <x:v>RM06|RM22|RM23|RM19</x:v>
      </x:c>
      <x:c r="F10" s="20" t="str">
        <x:v>自动理解为奢华；进入未开放或私人空间</x:v>
      </x:c>
    </x:row>
    <x:row r="11" ht="72" customHeight="1">
      <x:c r="A11" s="21" t="str">
        <x:v>TC06</x:v>
      </x:c>
      <x:c r="B11" s="21" t="str">
        <x:v>只有两天，但洪崖洞、长江索道、游船、李子坝、十八梯和博物馆都想去。</x:v>
      </x:c>
      <x:c r="C11" s="21" t="str">
        <x:v>显性：2天/多个必去；潜意图：害怕错过</x:v>
      </x:c>
      <x:c r="D11" s="21" t="str">
        <x:v>要求在经典城市感与深度之间二选一</x:v>
      </x:c>
      <x:c r="E11" s="21" t="str">
        <x:v>RM02|RM04|RM12|RM13|RM16</x:v>
      </x:c>
      <x:c r="F11" s="21" t="str">
        <x:v>通过压缩停留和增加转场假装全部可完成</x:v>
      </x:c>
    </x:row>
  </x:sheetData>
  <x:mergeCells>
    <x:mergeCell ref="A1:F1"/>
    <x:mergeCell ref="A2:F2"/>
  </x:mergeCells>
  <x:pageMargins left="0.7" right="0.7" top="0.75" bottom="0.75" header="0.3" footer="0.3"/>
  <x:tableParts count="1">
    <x:tablePart xmlns:r="http://schemas.openxmlformats.org/officeDocument/2006/relationships" r:id="R2aa41e9820ab4c78"/>
  </x:tableParts>
</x:worksheet>
</file>