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de129cfd440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库总览" sheetId="1" r:id="Rd589d7b64d49479c"/>
    <x:sheet xmlns:r="http://schemas.openxmlformats.org/officeDocument/2006/relationships" name="智能体会话输入" sheetId="2" r:id="R4a6c8c698a4d4e13"/>
    <x:sheet xmlns:r="http://schemas.openxmlformats.org/officeDocument/2006/relationships" name="对话信号库" sheetId="3" r:id="Ref5705ffcb2449d4"/>
    <x:sheet xmlns:r="http://schemas.openxmlformats.org/officeDocument/2006/relationships" name="追问规则" sheetId="4" r:id="Rc030d149fd134d8b"/>
    <x:sheet xmlns:r="http://schemas.openxmlformats.org/officeDocument/2006/relationships" name="智能体调用协议" sheetId="5" r:id="R0f1154c484b94744"/>
    <x:sheet xmlns:r="http://schemas.openxmlformats.org/officeDocument/2006/relationships" name="游客输出器" sheetId="6" r:id="R6fcc576726304172"/>
    <x:sheet xmlns:r="http://schemas.openxmlformats.org/officeDocument/2006/relationships" name="路线模块库" sheetId="7" r:id="R3a7b25d629874ab7"/>
    <x:sheet xmlns:r="http://schemas.openxmlformats.org/officeDocument/2006/relationships" name="点位内容库" sheetId="8" r:id="Rd67087065c8b457e"/>
    <x:sheet xmlns:r="http://schemas.openxmlformats.org/officeDocument/2006/relationships" name="讲解素材库" sheetId="9" r:id="R9f6b0ff3560d4636"/>
    <x:sheet xmlns:r="http://schemas.openxmlformats.org/officeDocument/2006/relationships" name="客群规则" sheetId="10" r:id="Rd3cb5e9fda6f476a"/>
    <x:sheet xmlns:r="http://schemas.openxmlformats.org/officeDocument/2006/relationships" name="输出规则" sheetId="11" r:id="R63e26bb21a5e415e"/>
    <x:sheet xmlns:r="http://schemas.openxmlformats.org/officeDocument/2006/relationships" name="实地核验" sheetId="12" r:id="R9d241de70aa94416"/>
    <x:sheet xmlns:r="http://schemas.openxmlformats.org/officeDocument/2006/relationships" name="来源台账" sheetId="13" r:id="R6f8637cb9b164039"/>
    <x:sheet xmlns:r="http://schemas.openxmlformats.org/officeDocument/2006/relationships" name="参数字典" sheetId="14" r:id="Rfdfb97d1e2bb41a5"/>
    <x:sheet xmlns:r="http://schemas.openxmlformats.org/officeDocument/2006/relationships" name="匹配计算" sheetId="15" r:id="Rd0159ac885a14c39"/>
    <x:sheet xmlns:r="http://schemas.openxmlformats.org/officeDocument/2006/relationships" name="对话测试集" sheetId="16" r:id="R2c774a0e9bcb4c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16">
    <x:font>
      <x:sz val="11"/>
      <x:name val="Carlito"/>
    </x:font>
    <x:font>
      <x:b/>
      <x:sz val="18"/>
      <x:color rgb="FFFFFFFF"/>
      <x:name val="Carlito"/>
    </x:font>
    <x:font>
      <x:sz val="10"/>
      <x:color rgb="FF667085"/>
      <x:name val="Carlito"/>
    </x:font>
    <x:font>
      <x:b/>
      <x:sz val="10"/>
      <x:color rgb="FFFFFFFF"/>
      <x:name val="Carlito"/>
    </x:font>
    <x:font>
      <x:sz val="9"/>
      <x:color rgb="FF17212B"/>
      <x:name val="Carlito"/>
    </x:font>
    <x:font>
      <x:b/>
      <x:sz val="11"/>
      <x:color rgb="FF0B2239"/>
      <x:name val="Carlito"/>
    </x:font>
    <x:font>
      <x:sz val="12"/>
      <x:color rgb="FF17212B"/>
      <x:name val="Carlito"/>
    </x:font>
    <x:font>
      <x:b/>
      <x:sz val="11"/>
      <x:color rgb="FFFFFFFF"/>
      <x:name val="Carlito"/>
    </x:font>
    <x:font>
      <x:b/>
      <x:sz val="11"/>
      <x:color rgb="FF2E7D72"/>
      <x:name val="Carlito"/>
    </x:font>
    <x:font>
      <x:sz val="11"/>
      <x:color rgb="FF667085"/>
      <x:name val="Carlito"/>
    </x:font>
    <x:font>
      <x:b/>
      <x:sz val="10"/>
      <x:color rgb="FF153B5B"/>
      <x:name val="Carlito"/>
    </x:font>
    <x:font>
      <x:b/>
      <x:sz val="20"/>
      <x:color rgb="FF1E6FA8"/>
      <x:name val="Carlito"/>
    </x:font>
    <x:font>
      <x:b/>
      <x:sz val="14"/>
      <x:color rgb="FF2E7D72"/>
      <x:name val="Carlito"/>
    </x:font>
    <x:font>
      <x:b/>
      <x:sz val="12"/>
      <x:color rgb="FFFFFFFF"/>
      <x:name val="Carlito"/>
    </x:font>
    <x:font>
      <x:b/>
      <x:sz val="11"/>
      <x:color rgb="FF153B5B"/>
      <x:name val="Carlito"/>
    </x:font>
    <x:font>
      <x:b/>
      <x:sz val="12"/>
      <x:color rgb="FF0B2239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2239"/>
      </x:patternFill>
    </x:fill>
    <x:fill>
      <x:patternFill patternType="solid">
        <x:fgColor rgb="FFF8F4EC"/>
      </x:patternFill>
    </x:fill>
    <x:fill>
      <x:patternFill patternType="solid">
        <x:fgColor rgb="FF153B5B"/>
      </x:patternFill>
    </x:fill>
    <x:fill>
      <x:patternFill patternType="solid">
        <x:fgColor rgb="FFC9993A"/>
      </x:patternFill>
    </x:fill>
    <x:fill>
      <x:patternFill patternType="solid">
        <x:fgColor rgb="FFD5EAF3"/>
      </x:patternFill>
    </x:fill>
    <x:fill>
      <x:patternFill patternType="solid">
        <x:fgColor rgb="FFEAF4F8"/>
      </x:patternFill>
    </x:fill>
    <x:fill>
      <x:patternFill patternType="solid">
        <x:fgColor rgb="FFF4E8C8"/>
      </x:patternFill>
    </x:fill>
    <x:fill>
      <x:patternFill patternType="solid">
        <x:fgColor rgb="FFE3F1EA"/>
      </x:patternFill>
    </x:fill>
    <x:fill>
      <x:patternFill patternType="solid">
        <x:fgColor rgb="FFFFFFFF"/>
      </x:patternFill>
    </x:fill>
  </x:fills>
  <x:borders count="26">
    <x:border/>
    <x:border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top style="thin">
        <x:color rgb="FFD9E2E8"/>
      </x:top>
    </x:border>
    <x:border>
      <x:right style="thin">
        <x:color rgb="FFE7D9B8"/>
      </x:right>
      <x:bottom style="thin">
        <x:color rgb="FFE7D9B8"/>
      </x:bottom>
    </x:border>
    <x:border>
      <x:left style="thin">
        <x:color rgb="FFE7D9B8"/>
      </x:left>
      <x:right style="thin">
        <x:color rgb="FFE7D9B8"/>
      </x:right>
      <x:bottom style="thin">
        <x:color rgb="FFE7D9B8"/>
      </x:bottom>
    </x:border>
    <x:border>
      <x:left style="thin">
        <x:color rgb="FFE7D9B8"/>
      </x:left>
      <x:bottom style="thin">
        <x:color rgb="FFE7D9B8"/>
      </x:bottom>
    </x:border>
    <x:border>
      <x:right style="thin">
        <x:color rgb="FFE7D9B8"/>
      </x:right>
      <x:top style="thin">
        <x:color rgb="FFE7D9B8"/>
      </x:top>
      <x:bottom style="thin">
        <x:color rgb="FFE7D9B8"/>
      </x:bottom>
    </x:border>
    <x:border>
      <x:left style="thin">
        <x:color rgb="FFE7D9B8"/>
      </x:left>
      <x:right style="thin">
        <x:color rgb="FFE7D9B8"/>
      </x:right>
      <x:top style="thin">
        <x:color rgb="FFE7D9B8"/>
      </x:top>
      <x:bottom style="thin">
        <x:color rgb="FFE7D9B8"/>
      </x:bottom>
    </x:border>
    <x:border>
      <x:left style="thin">
        <x:color rgb="FFE7D9B8"/>
      </x:left>
      <x:top style="thin">
        <x:color rgb="FFE7D9B8"/>
      </x:top>
      <x:bottom style="thin">
        <x:color rgb="FFE7D9B8"/>
      </x:bottom>
    </x:border>
    <x:border>
      <x:right style="thin">
        <x:color rgb="FFE7D9B8"/>
      </x:right>
      <x:top style="thin">
        <x:color rgb="FFE7D9B8"/>
      </x:top>
    </x:border>
    <x:border>
      <x:left style="thin">
        <x:color rgb="FFE7D9B8"/>
      </x:left>
      <x:right style="thin">
        <x:color rgb="FFE7D9B8"/>
      </x:right>
      <x:top style="thin">
        <x:color rgb="FFE7D9B8"/>
      </x:top>
    </x:border>
    <x:border>
      <x:left style="thin">
        <x:color rgb="FFE7D9B8"/>
      </x:left>
      <x:top style="thin">
        <x:color rgb="FFE7D9B8"/>
      </x:top>
    </x:border>
    <x:border>
      <x:left style="thin">
        <x:color rgb="FFBDD1DD"/>
      </x:left>
      <x:top style="thin">
        <x:color rgb="FFBDD1DD"/>
      </x:top>
    </x:border>
    <x:border>
      <x:right style="thin">
        <x:color rgb="FFBDD1DD"/>
      </x:right>
      <x:top style="thin">
        <x:color rgb="FFBDD1DD"/>
      </x:top>
    </x:border>
    <x:border>
      <x:left style="thin">
        <x:color rgb="FFBDD1DD"/>
      </x:left>
      <x:bottom style="thin">
        <x:color rgb="FFBDD1DD"/>
      </x:bottom>
    </x:border>
    <x:border>
      <x:right style="thin">
        <x:color rgb="FFBDD1DD"/>
      </x:right>
      <x:bottom style="thin">
        <x:color rgb="FFBDD1DD"/>
      </x:bottom>
    </x:border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</x:borders>
  <x:cellStyleXfs count="1">
    <x:xf numFmtId="0" fontId="0" fillId="0" borderId="0"/>
  </x:cellStyleXfs>
  <x:cellXfs count="2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200" fontId="4" fillId="6" borderId="1" xfId="0" applyNumberFormat="1" applyFont="1" applyFill="1" applyBorder="1" applyAlignment="1">
      <x:alignment vertical="top" wrapText="1"/>
    </x:xf>
    <x:xf numFmtId="200" fontId="4" fillId="6" borderId="2" xfId="0" applyNumberFormat="1" applyFont="1" applyFill="1" applyBorder="1" applyAlignment="1">
      <x:alignment vertical="top" wrapText="1"/>
    </x:xf>
    <x:xf numFmtId="200" fontId="4" fillId="6" borderId="3" xfId="0" applyNumberFormat="1" applyFont="1" applyFill="1" applyBorder="1" applyAlignment="1">
      <x:alignment vertical="top" wrapText="1"/>
    </x:xf>
    <x:xf numFmtId="201" fontId="4" fillId="6" borderId="1" xfId="0" applyNumberFormat="1" applyFont="1" applyFill="1" applyBorder="1" applyAlignment="1">
      <x:alignment vertical="top" wrapText="1"/>
    </x:xf>
    <x:xf numFmtId="201" fontId="4" fillId="6" borderId="2" xfId="0" applyNumberFormat="1" applyFont="1" applyFill="1" applyBorder="1" applyAlignment="1">
      <x:alignment vertical="top" wrapText="1"/>
    </x:xf>
    <x:xf numFmtId="201" fontId="4" fillId="6" borderId="3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0" fillId="3" borderId="12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0" fillId="3" borderId="7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0" fillId="3" borderId="10" xfId="0" applyNumberFormat="1" applyFont="1" applyFill="1" applyBorder="1" applyAlignment="1">
      <x:alignment vertical="center" wrapText="1"/>
    </x:xf>
    <x:xf numFmtId="0" fontId="0" fillId="3" borderId="11" xfId="0" applyNumberFormat="1" applyFont="1" applyFill="1" applyBorder="1" applyAlignment="1">
      <x:alignment vertical="center" wrapText="1"/>
    </x:xf>
    <x:xf numFmtId="0" fontId="0" fillId="3" borderId="12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top" wrapText="1"/>
    </x:xf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10" fillId="7" borderId="13" xfId="0" applyNumberFormat="1" applyFont="1" applyFill="1" applyBorder="1"/>
    <x:xf numFmtId="0" fontId="10" fillId="7" borderId="14" xfId="0" applyNumberFormat="1" applyFont="1" applyFill="1" applyBorder="1"/>
    <x:xf numFmtId="0" fontId="10" fillId="7" borderId="13" xfId="0" applyNumberFormat="1" applyFont="1" applyFill="1" applyBorder="1" applyAlignment="1">
      <x:alignment horizontal="center"/>
    </x:xf>
    <x:xf numFmtId="0" fontId="10" fillId="7" borderId="14" xfId="0" applyNumberFormat="1" applyFont="1" applyFill="1" applyBorder="1" applyAlignment="1">
      <x:alignment horizontal="center"/>
    </x:xf>
    <x:xf numFmtId="0" fontId="11" fillId="7" borderId="15" xfId="0" applyNumberFormat="1" applyFont="1" applyFill="1" applyBorder="1"/>
    <x:xf numFmtId="0" fontId="11" fillId="7" borderId="16" xfId="0" applyNumberFormat="1" applyFont="1" applyFill="1" applyBorder="1"/>
    <x:xf numFmtId="0" fontId="11" fillId="7" borderId="15" xfId="0" applyNumberFormat="1" applyFont="1" applyFill="1" applyBorder="1" applyAlignment="1">
      <x:alignment horizontal="center"/>
    </x:xf>
    <x:xf numFmtId="0" fontId="11" fillId="7" borderId="16" xfId="0" applyNumberFormat="1" applyFont="1" applyFill="1" applyBorder="1" applyAlignment="1">
      <x:alignment horizontal="center"/>
    </x:xf>
    <x:xf numFmtId="0" fontId="12" fillId="7" borderId="15" xfId="0" applyNumberFormat="1" applyFont="1" applyFill="1" applyBorder="1"/>
    <x:xf numFmtId="0" fontId="12" fillId="7" borderId="16" xfId="0" applyNumberFormat="1" applyFont="1" applyFill="1" applyBorder="1"/>
    <x:xf numFmtId="0" fontId="12" fillId="7" borderId="15" xfId="0" applyNumberFormat="1" applyFont="1" applyFill="1" applyBorder="1" applyAlignment="1">
      <x:alignment horizontal="center"/>
    </x:xf>
    <x:xf numFmtId="0" fontId="12" fillId="7" borderId="16" xfId="0" applyNumberFormat="1" applyFont="1" applyFill="1" applyBorder="1" applyAlignment="1">
      <x:alignment horizontal="center"/>
    </x:xf>
    <x:xf numFmtId="0" fontId="13" fillId="2" borderId="0" xfId="0" applyNumberFormat="1" applyFont="1" applyFill="1" applyBorder="1"/>
    <x:xf numFmtId="0" fontId="14" fillId="6" borderId="0" xfId="0" applyNumberFormat="1" applyFont="1" applyFill="1" applyBorder="1"/>
    <x:xf numFmtId="0" fontId="14" fillId="6" borderId="0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15" fillId="5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0" fillId="10" borderId="17" xfId="0" applyNumberFormat="1" applyFont="1" applyFill="1" applyBorder="1"/>
    <x:xf numFmtId="0" fontId="0" fillId="10" borderId="18" xfId="0" applyNumberFormat="1" applyFont="1" applyFill="1" applyBorder="1"/>
    <x:xf numFmtId="0" fontId="0" fillId="10" borderId="19" xfId="0" applyNumberFormat="1" applyFont="1" applyFill="1" applyBorder="1"/>
    <x:xf numFmtId="0" fontId="0" fillId="10" borderId="20" xfId="0" applyNumberFormat="1" applyFont="1" applyFill="1" applyBorder="1"/>
    <x:xf numFmtId="0" fontId="0" fillId="10" borderId="21" xfId="0" applyNumberFormat="1" applyFont="1" applyFill="1" applyBorder="1"/>
    <x:xf numFmtId="0" fontId="0" fillId="10" borderId="22" xfId="0" applyNumberFormat="1" applyFont="1" applyFill="1" applyBorder="1"/>
    <x:xf numFmtId="0" fontId="0" fillId="10" borderId="23" xfId="0" applyNumberFormat="1" applyFont="1" applyFill="1" applyBorder="1"/>
    <x:xf numFmtId="0" fontId="0" fillId="10" borderId="24" xfId="0" applyNumberFormat="1" applyFont="1" applyFill="1" applyBorder="1"/>
    <x:xf numFmtId="0" fontId="0" fillId="10" borderId="25" xfId="0" applyNumberFormat="1" applyFont="1" applyFill="1" applyBorder="1"/>
    <x:xf numFmtId="0" fontId="0" fillId="10" borderId="17" xfId="0" applyNumberFormat="1" applyFont="1" applyFill="1" applyBorder="1" applyAlignment="1">
      <x:alignment wrapText="1"/>
    </x:xf>
    <x:xf numFmtId="0" fontId="0" fillId="10" borderId="18" xfId="0" applyNumberFormat="1" applyFont="1" applyFill="1" applyBorder="1" applyAlignment="1">
      <x:alignment wrapText="1"/>
    </x:xf>
    <x:xf numFmtId="0" fontId="0" fillId="10" borderId="19" xfId="0" applyNumberFormat="1" applyFont="1" applyFill="1" applyBorder="1" applyAlignment="1">
      <x:alignment wrapText="1"/>
    </x:xf>
    <x:xf numFmtId="0" fontId="0" fillId="10" borderId="20" xfId="0" applyNumberFormat="1" applyFont="1" applyFill="1" applyBorder="1" applyAlignment="1">
      <x:alignment wrapText="1"/>
    </x:xf>
    <x:xf numFmtId="0" fontId="0" fillId="10" borderId="21" xfId="0" applyNumberFormat="1" applyFont="1" applyFill="1" applyBorder="1" applyAlignment="1">
      <x:alignment wrapText="1"/>
    </x:xf>
    <x:xf numFmtId="0" fontId="0" fillId="10" borderId="22" xfId="0" applyNumberFormat="1" applyFont="1" applyFill="1" applyBorder="1" applyAlignment="1">
      <x:alignment wrapText="1"/>
    </x:xf>
    <x:xf numFmtId="0" fontId="0" fillId="10" borderId="23" xfId="0" applyNumberFormat="1" applyFont="1" applyFill="1" applyBorder="1" applyAlignment="1">
      <x:alignment wrapText="1"/>
    </x:xf>
    <x:xf numFmtId="0" fontId="0" fillId="10" borderId="24" xfId="0" applyNumberFormat="1" applyFont="1" applyFill="1" applyBorder="1" applyAlignment="1">
      <x:alignment wrapText="1"/>
    </x:xf>
    <x:xf numFmtId="0" fontId="0" fillId="10" borderId="25" xfId="0" applyNumberFormat="1" applyFont="1" applyFill="1" applyBorder="1" applyAlignment="1">
      <x:alignment wrapText="1"/>
    </x:xf>
    <x:xf numFmtId="0" fontId="0" fillId="10" borderId="17" xfId="0" applyNumberFormat="1" applyFont="1" applyFill="1" applyBorder="1" applyAlignment="1">
      <x:alignment vertical="center" wrapText="1"/>
    </x:xf>
    <x:xf numFmtId="0" fontId="0" fillId="10" borderId="18" xfId="0" applyNumberFormat="1" applyFont="1" applyFill="1" applyBorder="1" applyAlignment="1">
      <x:alignment vertical="center" wrapText="1"/>
    </x:xf>
    <x:xf numFmtId="0" fontId="0" fillId="10" borderId="19" xfId="0" applyNumberFormat="1" applyFont="1" applyFill="1" applyBorder="1" applyAlignment="1">
      <x:alignment vertical="center" wrapText="1"/>
    </x:xf>
    <x:xf numFmtId="0" fontId="0" fillId="10" borderId="20" xfId="0" applyNumberFormat="1" applyFont="1" applyFill="1" applyBorder="1" applyAlignment="1">
      <x:alignment vertical="center" wrapText="1"/>
    </x:xf>
    <x:xf numFmtId="0" fontId="0" fillId="10" borderId="21" xfId="0" applyNumberFormat="1" applyFont="1" applyFill="1" applyBorder="1" applyAlignment="1">
      <x:alignment vertical="center" wrapText="1"/>
    </x:xf>
    <x:xf numFmtId="0" fontId="0" fillId="10" borderId="22" xfId="0" applyNumberFormat="1" applyFont="1" applyFill="1" applyBorder="1" applyAlignment="1">
      <x:alignment vertical="center" wrapText="1"/>
    </x:xf>
    <x:xf numFmtId="0" fontId="0" fillId="10" borderId="23" xfId="0" applyNumberFormat="1" applyFont="1" applyFill="1" applyBorder="1" applyAlignment="1">
      <x:alignment vertical="center" wrapText="1"/>
    </x:xf>
    <x:xf numFmtId="0" fontId="0" fillId="10" borderId="24" xfId="0" applyNumberFormat="1" applyFont="1" applyFill="1" applyBorder="1" applyAlignment="1">
      <x:alignment vertical="center" wrapText="1"/>
    </x:xf>
    <x:xf numFmtId="0" fontId="0" fillId="10" borderId="2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1F6B5C"/>
      </x:font>
      <x:fill>
        <x:patternFill patternType="solid">
          <x:bgColor rgb="FFE3F1EA"/>
        </x:patternFill>
      </x:fill>
    </x:dxf>
    <x:dxf>
      <x:font>
        <x:color rgb="FFB42318"/>
      </x:font>
      <x:fill>
        <x:patternFill patternType="solid">
          <x:bgColor rgb="FFFBE5E5"/>
        </x:patternFill>
      </x:fill>
    </x:dxf>
    <x:dxf>
      <x:font>
        <x:b/>
        <x:color rgb="FF1F6B5C"/>
      </x:font>
      <x:fill>
        <x:patternFill patternType="solid">
          <x:bgColor rgb="FFE3F1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8a936cfbcd4ed9" /><Relationship Type="http://schemas.openxmlformats.org/officeDocument/2006/relationships/theme" Target="/xl/theme/theme1.xml" Id="R14bb0e782a214c1e" /><Relationship Type="http://schemas.openxmlformats.org/officeDocument/2006/relationships/sharedStrings" Target="/xl/sharedStrings.xml" Id="R5843ec6b347943a0" /><Relationship Type="http://schemas.openxmlformats.org/officeDocument/2006/relationships/worksheet" Target="/xl/worksheets/sheet1.xml" Id="Rd589d7b64d49479c" /><Relationship Type="http://schemas.openxmlformats.org/officeDocument/2006/relationships/worksheet" Target="/xl/worksheets/sheet2.xml" Id="R4a6c8c698a4d4e13" /><Relationship Type="http://schemas.openxmlformats.org/officeDocument/2006/relationships/worksheet" Target="/xl/worksheets/sheet3.xml" Id="Ref5705ffcb2449d4" /><Relationship Type="http://schemas.openxmlformats.org/officeDocument/2006/relationships/worksheet" Target="/xl/worksheets/sheet4.xml" Id="Rc030d149fd134d8b" /><Relationship Type="http://schemas.openxmlformats.org/officeDocument/2006/relationships/worksheet" Target="/xl/worksheets/sheet5.xml" Id="R0f1154c484b94744" /><Relationship Type="http://schemas.openxmlformats.org/officeDocument/2006/relationships/worksheet" Target="/xl/worksheets/sheet6.xml" Id="R6fcc576726304172" /><Relationship Type="http://schemas.openxmlformats.org/officeDocument/2006/relationships/worksheet" Target="/xl/worksheets/sheet7.xml" Id="R3a7b25d629874ab7" /><Relationship Type="http://schemas.openxmlformats.org/officeDocument/2006/relationships/worksheet" Target="/xl/worksheets/sheet8.xml" Id="Rd67087065c8b457e" /><Relationship Type="http://schemas.openxmlformats.org/officeDocument/2006/relationships/worksheet" Target="/xl/worksheets/sheet9.xml" Id="R9f6b0ff3560d4636" /><Relationship Type="http://schemas.openxmlformats.org/officeDocument/2006/relationships/worksheet" Target="/xl/worksheets/sheet10.xml" Id="Rd3cb5e9fda6f476a" /><Relationship Type="http://schemas.openxmlformats.org/officeDocument/2006/relationships/worksheet" Target="/xl/worksheets/sheet11.xml" Id="R63e26bb21a5e415e" /><Relationship Type="http://schemas.openxmlformats.org/officeDocument/2006/relationships/worksheet" Target="/xl/worksheets/sheet12.xml" Id="R9d241de70aa94416" /><Relationship Type="http://schemas.openxmlformats.org/officeDocument/2006/relationships/worksheet" Target="/xl/worksheets/sheet13.xml" Id="R6f8637cb9b164039" /><Relationship Type="http://schemas.openxmlformats.org/officeDocument/2006/relationships/worksheet" Target="/xl/worksheets/sheet14.xml" Id="Rfdfb97d1e2bb41a5" /><Relationship Type="http://schemas.openxmlformats.org/officeDocument/2006/relationships/worksheet" Target="/xl/worksheets/sheet15.xml" Id="Rd0159ac885a14c39" /><Relationship Type="http://schemas.openxmlformats.org/officeDocument/2006/relationships/worksheet" Target="/xl/worksheets/sheet16.xml" Id="R2c774a0e9bcb4c15" /></Relationships>
</file>

<file path=xl/tables/table1.xml><?xml version="1.0" encoding="utf-8"?>
<x:table xmlns:x="http://schemas.openxmlformats.org/spreadsheetml/2006/main" id="4" name="ConversationSignalTable" displayName="ConversationSignalTable" ref="A5:K35" headerRowCount="1" totalsRowCount="0" totalsRowShown="0">
  <x:autoFilter ref="A5:K35"/>
  <x:tableColumns count="11">
    <x:tableColumn id="1" name="信号ID"/>
    <x:tableColumn id="2" name="客户表达示例"/>
    <x:tableColumn id="3" name="信号类型"/>
    <x:tableColumn id="4" name="可能需要/状态"/>
    <x:tableColumn id="5" name="证据来源"/>
    <x:tableColumn id="6" name="置信度上限"/>
    <x:tableColumn id="7" name="允许动作"/>
    <x:tableColumn id="8" name="可影响排序"/>
    <x:tableColumn id="9" name="必须确认"/>
    <x:tableColumn id="10" name="建议追问"/>
    <x:tableColumn id="11" name="禁止过度推断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FollowUpRuleTable" displayName="FollowUpRuleTable" ref="A5:H20" headerRowCount="1" totalsRowCount="0" totalsRowShown="0">
  <x:autoFilter ref="A5:H20"/>
  <x:tableColumns count="8">
    <x:tableColumn id="1" name="优先级"/>
    <x:tableColumn id="2" name="追问主题"/>
    <x:tableColumn id="3" name="触发条件"/>
    <x:tableColumn id="4" name="为什么必须问"/>
    <x:tableColumn id="5" name="自然语言问题"/>
    <x:tableColumn id="6" name="阻断级别"/>
    <x:tableColumn id="7" name="何时不问"/>
    <x:tableColumn id="8" name="影响的决策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AgentProtocolTable" displayName="AgentProtocolTable" ref="A5:E16" headerRowCount="1" totalsRowCount="0" totalsRowShown="0">
  <x:autoFilter ref="A5:E16"/>
  <x:tableColumns count="5">
    <x:tableColumn id="1" name="步骤"/>
    <x:tableColumn id="2" name="智能体动作"/>
    <x:tableColumn id="3" name="结构化字段"/>
    <x:tableColumn id="4" name="硬规则"/>
    <x:tableColumn id="5" name="阶段输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RouteModuleTable" displayName="RouteModuleTable" ref="A5:AN29" headerRowCount="1" totalsRowCount="0" totalsRowShown="0">
  <x:autoFilter ref="A5:AN29"/>
  <x:tableColumns count="40">
    <x:tableColumn id="1" name="模块ID"/>
    <x:tableColumn id="2" name="默认日"/>
    <x:tableColumn id="3" name="路线版本"/>
    <x:tableColumn id="4" name="模块名称"/>
    <x:tableColumn id="5" name="内容角色"/>
    <x:tableColumn id="6" name="点位ID"/>
    <x:tableColumn id="7" name="核心节点"/>
    <x:tableColumn id="8" name="给游客的承诺"/>
    <x:tableColumn id="9" name="只讲一个核心解释"/>
    <x:tableColumn id="10" name="游客观察任务"/>
    <x:tableColumn id="11" name="时长(分钟)"/>
    <x:tableColumn id="12" name="体力1-3"/>
    <x:tableColumn id="13" name="雨天适配1-3"/>
    <x:tableColumn id="14" name="炎热适配1-3"/>
    <x:tableColumn id="15" name="首次经典"/>
    <x:tableColumn id="16" name="赛博摄影"/>
    <x:tableColumn id="17" name="文化历史"/>
    <x:tableColumn id="18" name="美食生活"/>
    <x:tableColumn id="19" name="亲子轻松"/>
    <x:tableColumn id="20" name="复游客"/>
    <x:tableColumn id="21" name="付费潜力"/>
    <x:tableColumn id="22" name="基础优先分"/>
    <x:tableColumn id="23" name="重复组"/>
    <x:tableColumn id="24" name="默认状态"/>
    <x:tableColumn id="25" name="来源URL"/>
    <x:tableColumn id="26" name="内部删减规则"/>
    <x:tableColumn id="27" name="显性意图标签"/>
    <x:tableColumn id="28" name="潜在意图标签"/>
    <x:tableColumn id="29" name="视觉奇观"/>
    <x:tableColumn id="30" name="历史理解"/>
    <x:tableColumn id="31" name="在地生活"/>
    <x:tableColumn id="32" name="饮食互动"/>
    <x:tableColumn id="33" name="低摩擦"/>
    <x:tableColumn id="34" name="摄影创作"/>
    <x:tableColumn id="35" name="亲子教育"/>
    <x:tableColumn id="36" name="复游新鲜感"/>
    <x:tableColumn id="37" name="禁止/降级条件"/>
    <x:tableColumn id="38" name="必须确认字段"/>
    <x:tableColumn id="39" name="智能体检索摘要"/>
    <x:tableColumn id="40" name="对客现实提醒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PointContentTable" displayName="PointContentTable" ref="A5:AH45" headerRowCount="1" totalsRowCount="0" totalsRowShown="0">
  <x:autoFilter ref="A5:AH45"/>
  <x:tableColumns count="34">
    <x:tableColumn id="1" name="ID"/>
    <x:tableColumn id="2" name="地点/体验"/>
    <x:tableColumn id="3" name="区域"/>
    <x:tableColumn id="4" name="原始模块"/>
    <x:tableColumn id="5" name="类型"/>
    <x:tableColumn id="6" name="研究推荐"/>
    <x:tableColumn id="7" name="产品角色"/>
    <x:tableColumn id="8" name="原适合客群"/>
    <x:tableColumn id="9" name="产品分"/>
    <x:tableColumn id="10" name="证据分"/>
    <x:tableColumn id="11" name="证据等级"/>
    <x:tableColumn id="12" name="停留(分钟)"/>
    <x:tableColumn id="13" name="最佳时段"/>
    <x:tableColumn id="14" name="交通"/>
    <x:tableColumn id="15" name="外国人摩擦"/>
    <x:tableColumn id="16" name="天气/体力"/>
    <x:tableColumn id="17" name="风险"/>
    <x:tableColumn id="18" name="深层解释"/>
    <x:tableColumn id="19" name="游客观察任务"/>
    <x:tableColumn id="20" name="来源URL1"/>
    <x:tableColumn id="21" name="来源URL2"/>
    <x:tableColumn id="22" name="检查日期"/>
    <x:tableColumn id="23" name="内容角色"/>
    <x:tableColumn id="24" name="海外引流力"/>
    <x:tableColumn id="25" name="到访满意度"/>
    <x:tableColumn id="26" name="付费潜力"/>
    <x:tableColumn id="27" name="默认输出级别"/>
    <x:tableColumn id="28" name="重复组"/>
    <x:tableColumn id="29" name="客群标签"/>
    <x:tableColumn id="30" name="适合输出长度"/>
    <x:tableColumn id="31" name="游客输出标题"/>
    <x:tableColumn id="32" name="对外一句话"/>
    <x:tableColumn id="33" name="内部删减规则"/>
    <x:tableColumn id="34" name="输出优先分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9" name="StoryCardTable" displayName="StoryCardTable" ref="A5:O20" headerRowCount="1" totalsRowCount="0" totalsRowShown="0">
  <x:autoFilter ref="A5:O20"/>
  <x:tableColumns count="15">
    <x:tableColumn id="1" name="卡ID"/>
    <x:tableColumn id="2" name="主题"/>
    <x:tableColumn id="3" name="适用节点"/>
    <x:tableColumn id="4" name="现场切入"/>
    <x:tableColumn id="5" name="深层解释"/>
    <x:tableColumn id="6" name="不要这样说"/>
    <x:tableColumn id="7" name="给游客的问题"/>
    <x:tableColumn id="8" name="证据状态"/>
    <x:tableColumn id="9" name="来源URL1"/>
    <x:tableColumn id="10" name="来源URL2"/>
    <x:tableColumn id="11" name="下一步"/>
    <x:tableColumn id="12" name="内容角色"/>
    <x:tableColumn id="13" name="适合客群"/>
    <x:tableColumn id="14" name="适合长度"/>
    <x:tableColumn id="15" name="使用条件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3" name="ProfileRuleTable" displayName="ProfileRuleTable" ref="A5:G11" headerRowCount="1" totalsRowCount="0" totalsRowShown="0">
  <x:autoFilter ref="A5:G11"/>
  <x:tableColumns count="7">
    <x:tableColumn id="1" name="客群"/>
    <x:tableColumn id="2" name="核心需求"/>
    <x:tableColumn id="3" name="输出承诺"/>
    <x:tableColumn id="4" name="最常见失败"/>
    <x:tableColumn id="5" name="必须优先"/>
    <x:tableColumn id="6" name="首先删除"/>
    <x:tableColumn id="7" name="建议停留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OutputRuleTable" displayName="OutputRuleTable" ref="A5:D23" headerRowCount="1" totalsRowCount="0" totalsRowShown="0">
  <x:autoFilter ref="A5:D23"/>
  <x:tableColumns count="4">
    <x:tableColumn id="1" name="规则层"/>
    <x:tableColumn id="2" name="控制项"/>
    <x:tableColumn id="3" name="明确规则"/>
    <x:tableColumn id="4" name="执行方式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FieldCheckTableV03" displayName="FieldCheckTableV03" ref="A5:K35" headerRowCount="1" totalsRowCount="0" totalsRowShown="0">
  <x:autoFilter ref="A5:K35"/>
  <x:tableColumns count="11">
    <x:tableColumn id="1" name="核验ID"/>
    <x:tableColumn id="2" name="模块"/>
    <x:tableColumn id="3" name="对象"/>
    <x:tableColumn id="4" name="方式"/>
    <x:tableColumn id="5" name="优先级"/>
    <x:tableColumn id="6" name="状态"/>
    <x:tableColumn id="7" name="核验人"/>
    <x:tableColumn id="8" name="核验日期"/>
    <x:tableColumn id="9" name="必须记录"/>
    <x:tableColumn id="10" name="合格交付物"/>
    <x:tableColumn id="11" name="来源UR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1" name="SourceLedgerV03" displayName="SourceLedgerV03" ref="A5:I39" headerRowCount="1" totalsRowCount="0" totalsRowShown="0">
  <x:autoFilter ref="A5:I39"/>
  <x:tableColumns count="9">
    <x:tableColumn id="1" name="来源ID"/>
    <x:tableColumn id="2" name="来源名称"/>
    <x:tableColumn id="3" name="来源/机构"/>
    <x:tableColumn id="4" name="层级"/>
    <x:tableColumn id="5" name="主要用途"/>
    <x:tableColumn id="6" name="发布日期/状态"/>
    <x:tableColumn id="7" name="核心信息"/>
    <x:tableColumn id="8" name="URL"/>
    <x:tableColumn id="9" name="广告风险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2" name="ParameterDictionary" displayName="ParameterDictionary" ref="A5:G26" headerRowCount="1" totalsRowCount="0" totalsRowShown="0">
  <x:autoFilter ref="A5:G26"/>
  <x:tableColumns count="7">
    <x:tableColumn id="1" name="字段组"/>
    <x:tableColumn id="2" name="字段/参数"/>
    <x:tableColumn id="3" name="定义/用途"/>
    <x:tableColumn id="4" name="取值1"/>
    <x:tableColumn id="5" name="取值2"/>
    <x:tableColumn id="6" name="取值3"/>
    <x:tableColumn id="7" name="备注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7" name="ConversationTestTable" displayName="ConversationTestTable" ref="A5:F11" headerRowCount="1" totalsRowCount="0" totalsRowShown="0">
  <x:autoFilter ref="A5:F11"/>
  <x:tableColumns count="6">
    <x:tableColumn id="1" name="测试ID"/>
    <x:tableColumn id="2" name="客户对话"/>
    <x:tableColumn id="3" name="应识别的旅行者状态"/>
    <x:tableColumn id="4" name="必须追问"/>
    <x:tableColumn id="5" name="预期优先模块"/>
    <x:tableColumn id="6" name="禁止推断/失败条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97ebb7127f846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ea6a9b06ef04f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c54b6f4db3843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4dbcb80e71804d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2d5b6c1493e347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1c6a6746012148d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f31ce29f8b614b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df62688b2bc642f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c019b3e49bbd4ab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4bff7a19c42451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576c935d6ca444e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2.xml" Id="Rf69972ab99a144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8" hidden="0" customWidth="1"/>
    <x:col min="4" max="4" width="12" hidden="0" customWidth="1"/>
    <x:col min="5" max="5" width="18" hidden="0" customWidth="1"/>
    <x:col min="6" max="6" width="12" hidden="0" customWidth="1"/>
    <x:col min="7" max="7" width="18" hidden="0" customWidth="1"/>
    <x:col min="8" max="8" width="12" hidden="0" customWidth="1"/>
    <x:col min="9" max="9" width="18" hidden="0" customWidth="1"/>
    <x:col min="10" max="10" width="12" hidden="0" customWidth="1"/>
    <x:col min="11" max="11" width="19" hidden="0" customWidth="1"/>
    <x:col min="12" max="12" width="12" hidden="0" customWidth="1"/>
  </x:cols>
  <x:sheetData>
    <x:row r="1" ht="32" customHeight="1">
      <x:c r="A1" s="3" t="str">
        <x:v>重庆主城智能体内容与意图数据库｜V0.4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7" t="str">
        <x:v>这不是一份固定攻略，而是独立站智能体的决策底座：从客户对话中区分显性事实、潜在需要、硬约束和未知项，再检索并装配有重点的路书。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29" customHeight="1">
      <x:c r="A4" s="113" t="str">
        <x:v>点位条目</x:v>
      </x:c>
      <x:c r="B4" s="114"/>
      <x:c r="C4" s="113" t="str">
        <x:v>路线模块</x:v>
      </x:c>
      <x:c r="D4" s="114"/>
      <x:c r="E4" s="113" t="str">
        <x:v>对话信号</x:v>
      </x:c>
      <x:c r="F4" s="114"/>
      <x:c r="G4" s="113" t="str">
        <x:v>追问规则</x:v>
      </x:c>
      <x:c r="H4" s="114"/>
      <x:c r="I4" s="113" t="str">
        <x:v>测试用例</x:v>
      </x:c>
      <x:c r="J4" s="114"/>
      <x:c r="K4" s="113" t="str">
        <x:v>当前输出画像</x:v>
      </x:c>
      <x:c r="L4" s="114"/>
    </x:row>
    <x:row r="5" ht="29" customHeight="1">
      <x:c r="A5" s="117" t="n">
        <x:f>COUNTA('点位内容库'!A6:A60)</x:f>
        <x:v>40</x:v>
      </x:c>
      <x:c r="B5" s="118"/>
      <x:c r="C5" s="117" t="n">
        <x:f>COUNTA('路线模块库'!A6:A60)</x:f>
        <x:v>24</x:v>
      </x:c>
      <x:c r="D5" s="118"/>
      <x:c r="E5" s="117" t="n">
        <x:f>COUNTA('对话信号库'!A6:A60)</x:f>
        <x:v>30</x:v>
      </x:c>
      <x:c r="F5" s="118"/>
      <x:c r="G5" s="117" t="n">
        <x:f>COUNTA('追问规则'!A6:A40)</x:f>
        <x:v>15</x:v>
      </x:c>
      <x:c r="H5" s="118"/>
      <x:c r="I5" s="117" t="n">
        <x:f>COUNTA('对话测试集'!A6:A30)</x:f>
        <x:v>6</x:v>
      </x:c>
      <x:c r="J5" s="118"/>
      <x:c r="K5" s="121" t="str">
        <x:f>'游客输出器'!B5</x:f>
        <x:v>首次经典</x:v>
      </x:c>
      <x:c r="L5" s="122"/>
    </x:row>
    <x:row r="7">
      <x:c r="A7" s="123" t="str">
        <x:v>四层闭环：智能体理解客户，数据库负责决策，路书负责表达，人工负责履约</x:v>
      </x:c>
      <x:c r="B7" s="123"/>
      <x:c r="C7" s="123"/>
      <x:c r="D7" s="123"/>
      <x:c r="E7" s="123"/>
      <x:c r="F7" s="123"/>
      <x:c r="G7" s="123"/>
      <x:c r="H7" s="123"/>
      <x:c r="I7" s="123"/>
      <x:c r="J7" s="123"/>
      <x:c r="K7" s="123"/>
      <x:c r="L7" s="123"/>
    </x:row>
    <x:row r="8" ht="43" customHeight="1">
      <x:c r="A8" s="125" t="str">
        <x:v>01</x:v>
      </x:c>
      <x:c r="B8" s="125" t="str">
        <x:v>对话理解层</x:v>
      </x:c>
      <x:c r="C8" s="144" t="str">
        <x:v>保存客户原话，分开显性事实、潜意图、硬约束、未知项和状态变化；低置信推断只用于追问。</x:v>
      </x:c>
      <x:c r="D8" s="145"/>
      <x:c r="E8" s="145"/>
      <x:c r="F8" s="145"/>
      <x:c r="G8" s="145"/>
      <x:c r="H8" s="145"/>
      <x:c r="I8" s="145"/>
      <x:c r="J8" s="145"/>
      <x:c r="K8" s="145"/>
      <x:c r="L8" s="146"/>
    </x:row>
    <x:row r="9" ht="43" customHeight="1">
      <x:c r="A9" s="125" t="str">
        <x:v>02</x:v>
      </x:c>
      <x:c r="B9" s="125" t="str">
        <x:v>内容决策层</x:v>
      </x:c>
      <x:c r="C9" s="147" t="str">
        <x:v>用点位、路线模块、八个意图维度和硬条件完成过滤、排序、去重与替换。</x:v>
      </x:c>
      <x:c r="D9" s="148"/>
      <x:c r="E9" s="148"/>
      <x:c r="F9" s="148"/>
      <x:c r="G9" s="148"/>
      <x:c r="H9" s="148"/>
      <x:c r="I9" s="148"/>
      <x:c r="J9" s="148"/>
      <x:c r="K9" s="148"/>
      <x:c r="L9" s="149"/>
    </x:row>
    <x:row r="10" ht="43" customHeight="1">
      <x:c r="A10" s="125" t="str">
        <x:v>03</x:v>
      </x:c>
      <x:c r="B10" s="125" t="str">
        <x:v>路书表达层</x:v>
      </x:c>
      <x:c r="C10" s="147" t="str">
        <x:v>每天只输出2—4个模块，并说明为什么适合这位客户；不暴露内部画像和分数。</x:v>
      </x:c>
      <x:c r="D10" s="148"/>
      <x:c r="E10" s="148"/>
      <x:c r="F10" s="148"/>
      <x:c r="G10" s="148"/>
      <x:c r="H10" s="148"/>
      <x:c r="I10" s="148"/>
      <x:c r="J10" s="148"/>
      <x:c r="K10" s="148"/>
      <x:c r="L10" s="149"/>
    </x:row>
    <x:row r="11" ht="43" customHeight="1">
      <x:c r="A11" s="125" t="str">
        <x:v>04</x:v>
      </x:c>
      <x:c r="B11" s="125" t="str">
        <x:v>人工履约层</x:v>
      </x:c>
      <x:c r="C11" s="150" t="str">
        <x:v>动态开放、供应商、价格、拍摄、取消和安全由人工复核后才成为可出售承诺。</x:v>
      </x:c>
      <x:c r="D11" s="151"/>
      <x:c r="E11" s="151"/>
      <x:c r="F11" s="151"/>
      <x:c r="G11" s="151"/>
      <x:c r="H11" s="151"/>
      <x:c r="I11" s="151"/>
      <x:c r="J11" s="151"/>
      <x:c r="K11" s="151"/>
      <x:c r="L11" s="152"/>
    </x:row>
    <x:row r="13">
      <x:c r="A13" s="153" t="str">
        <x:v>智能体输出的硬性规则</x:v>
      </x:c>
      <x:c r="B13" s="153"/>
      <x:c r="C13" s="153"/>
      <x:c r="D13" s="153"/>
      <x:c r="E13" s="153"/>
      <x:c r="F13" s="153"/>
      <x:c r="G13" s="153"/>
      <x:c r="H13" s="153"/>
      <x:c r="I13" s="153"/>
      <x:c r="J13" s="153"/>
      <x:c r="K13" s="153"/>
      <x:c r="L13" s="153"/>
    </x:row>
    <x:row r="14" ht="40" customHeight="1">
      <x:c r="A14" s="47" t="str">
        <x:v>1</x:v>
      </x:c>
      <x:c r="B14" s="47" t="str">
        <x:v>事实、推断、未知分开</x:v>
      </x:c>
      <x:c r="C14" s="172" t="str">
        <x:v>客户直接说出的内容、智能体推断的需要和仍未知的信息不得混写。</x:v>
      </x:c>
      <x:c r="D14" s="173"/>
      <x:c r="E14" s="173"/>
      <x:c r="F14" s="173"/>
      <x:c r="G14" s="173"/>
      <x:c r="H14" s="173"/>
      <x:c r="I14" s="173"/>
      <x:c r="J14" s="173"/>
      <x:c r="K14" s="173"/>
      <x:c r="L14" s="174"/>
    </x:row>
    <x:row r="15" ht="40" customHeight="1">
      <x:c r="A15" s="47" t="str">
        <x:v>2</x:v>
      </x:c>
      <x:c r="B15" s="47" t="str">
        <x:v>潜意图必须带证据</x:v>
      </x:c>
      <x:c r="C15" s="175" t="str">
        <x:v>每个潜意图必须有客户原话、推断理由和置信度；低于50%不能参与排序。</x:v>
      </x:c>
      <x:c r="D15" s="176"/>
      <x:c r="E15" s="176"/>
      <x:c r="F15" s="176"/>
      <x:c r="G15" s="176"/>
      <x:c r="H15" s="176"/>
      <x:c r="I15" s="176"/>
      <x:c r="J15" s="176"/>
      <x:c r="K15" s="176"/>
      <x:c r="L15" s="177"/>
    </x:row>
    <x:row r="16" ht="40" customHeight="1">
      <x:c r="A16" s="47" t="str">
        <x:v>3</x:v>
      </x:c>
      <x:c r="B16" s="47" t="str">
        <x:v>安全与收费必须确认</x:v>
      </x:c>
      <x:c r="C16" s="175" t="str">
        <x:v>体力、过敏、商业拍摄、私人空间和付费履约必须追问，不能靠推测。</x:v>
      </x:c>
      <x:c r="D16" s="176"/>
      <x:c r="E16" s="176"/>
      <x:c r="F16" s="176"/>
      <x:c r="G16" s="176"/>
      <x:c r="H16" s="176"/>
      <x:c r="I16" s="176"/>
      <x:c r="J16" s="176"/>
      <x:c r="K16" s="176"/>
      <x:c r="L16" s="177"/>
    </x:row>
    <x:row r="17" ht="40" customHeight="1">
      <x:c r="A17" s="47" t="str">
        <x:v>4</x:v>
      </x:c>
      <x:c r="B17" s="47" t="str">
        <x:v>一天只有一个主叙事</x:v>
      </x:c>
      <x:c r="C17" s="175" t="str">
        <x:v>标题、节点和解释服务同一个问题，不做城市百科全书。</x:v>
      </x:c>
      <x:c r="D17" s="176"/>
      <x:c r="E17" s="176"/>
      <x:c r="F17" s="176"/>
      <x:c r="G17" s="176"/>
      <x:c r="H17" s="176"/>
      <x:c r="I17" s="176"/>
      <x:c r="J17" s="176"/>
      <x:c r="K17" s="176"/>
      <x:c r="L17" s="177"/>
    </x:row>
    <x:row r="18" ht="40" customHeight="1">
      <x:c r="A18" s="47" t="str">
        <x:v>5</x:v>
      </x:c>
      <x:c r="B18" s="47" t="str">
        <x:v>一天只给2—4个模块</x:v>
      </x:c>
      <x:c r="C18" s="175" t="str">
        <x:v>精简2个、标准3个、深度4个；信息更多不等于价值更高。</x:v>
      </x:c>
      <x:c r="D18" s="176"/>
      <x:c r="E18" s="176"/>
      <x:c r="F18" s="176"/>
      <x:c r="G18" s="176"/>
      <x:c r="H18" s="176"/>
      <x:c r="I18" s="176"/>
      <x:c r="J18" s="176"/>
      <x:c r="K18" s="176"/>
      <x:c r="L18" s="177"/>
    </x:row>
    <x:row r="19" ht="40" customHeight="1">
      <x:c r="A19" s="47" t="str">
        <x:v>6</x:v>
      </x:c>
      <x:c r="B19" s="47" t="str">
        <x:v>相似内容必须去重</x:v>
      </x:c>
      <x:c r="C19" s="178" t="str">
        <x:v>洪崖洞、游船、索道和观景台不全给；相似老街与场馆按客户目标选择。</x:v>
      </x:c>
      <x:c r="D19" s="179"/>
      <x:c r="E19" s="179"/>
      <x:c r="F19" s="179"/>
      <x:c r="G19" s="179"/>
      <x:c r="H19" s="179"/>
      <x:c r="I19" s="179"/>
      <x:c r="J19" s="179"/>
      <x:c r="K19" s="179"/>
      <x:c r="L19" s="180"/>
    </x:row>
    <x:row r="21">
      <x:c r="A21" s="123" t="str">
        <x:v>独立站智能体工作流</x:v>
      </x:c>
      <x:c r="B21" s="123"/>
      <x:c r="C21" s="123"/>
      <x:c r="D21" s="123"/>
      <x:c r="E21" s="123"/>
      <x:c r="F21" s="123"/>
      <x:c r="G21" s="123"/>
      <x:c r="H21" s="123"/>
      <x:c r="I21" s="123"/>
      <x:c r="J21" s="123"/>
      <x:c r="K21" s="123"/>
      <x:c r="L21" s="123"/>
    </x:row>
    <x:row r="22" ht="38" customHeight="1">
      <x:c r="A22" s="86" t="str">
        <x:v>1 保存原话与显性事实</x:v>
      </x:c>
      <x:c r="B22" s="86"/>
      <x:c r="C22" s="200" t="str">
        <x:v>先听客户说什么，不急着生成路线</x:v>
      </x:c>
      <x:c r="D22" s="201"/>
      <x:c r="E22" s="201"/>
      <x:c r="F22" s="201"/>
      <x:c r="G22" s="201"/>
      <x:c r="H22" s="201"/>
      <x:c r="I22" s="201"/>
      <x:c r="J22" s="201"/>
      <x:c r="K22" s="201"/>
      <x:c r="L22" s="202"/>
    </x:row>
    <x:row r="23" ht="38" customHeight="1">
      <x:c r="A23" s="86" t="str">
        <x:v>2 形成有证据的潜意图</x:v>
      </x:c>
      <x:c r="B23" s="86"/>
      <x:c r="C23" s="203" t="str">
        <x:v>记录置信度、允许影响和禁止越界</x:v>
      </x:c>
      <x:c r="D23" s="204"/>
      <x:c r="E23" s="204"/>
      <x:c r="F23" s="204"/>
      <x:c r="G23" s="204"/>
      <x:c r="H23" s="204"/>
      <x:c r="I23" s="204"/>
      <x:c r="J23" s="204"/>
      <x:c r="K23" s="204"/>
      <x:c r="L23" s="205"/>
    </x:row>
    <x:row r="24" ht="38" customHeight="1">
      <x:c r="A24" s="86" t="str">
        <x:v>3 每轮追问1—2个高价值问题</x:v>
      </x:c>
      <x:c r="B24" s="86"/>
      <x:c r="C24" s="203" t="str">
        <x:v>优先消除会改变安全、路线和收费的不确定性</x:v>
      </x:c>
      <x:c r="D24" s="204"/>
      <x:c r="E24" s="204"/>
      <x:c r="F24" s="204"/>
      <x:c r="G24" s="204"/>
      <x:c r="H24" s="204"/>
      <x:c r="I24" s="204"/>
      <x:c r="J24" s="204"/>
      <x:c r="K24" s="204"/>
      <x:c r="L24" s="205"/>
    </x:row>
    <x:row r="25" ht="38" customHeight="1">
      <x:c r="A25" s="86" t="str">
        <x:v>4 检索、过滤、排序和去重</x:v>
      </x:c>
      <x:c r="B25" s="86"/>
      <x:c r="C25" s="203" t="str">
        <x:v>用对话状态驱动路线模块，而不是直接让大模型自由发挥</x:v>
      </x:c>
      <x:c r="D25" s="204"/>
      <x:c r="E25" s="204"/>
      <x:c r="F25" s="204"/>
      <x:c r="G25" s="204"/>
      <x:c r="H25" s="204"/>
      <x:c r="I25" s="204"/>
      <x:c r="J25" s="204"/>
      <x:c r="K25" s="204"/>
      <x:c r="L25" s="205"/>
    </x:row>
    <x:row r="26" ht="38" customHeight="1">
      <x:c r="A26" s="86" t="str">
        <x:v>5 输出路书并进入商业承接</x:v>
      </x:c>
      <x:c r="B26" s="86"/>
      <x:c r="C26" s="206" t="str">
        <x:v>免费灵感、付费路书、人工校验和预约服务分层交付</x:v>
      </x:c>
      <x:c r="D26" s="207"/>
      <x:c r="E26" s="207"/>
      <x:c r="F26" s="207"/>
      <x:c r="G26" s="207"/>
      <x:c r="H26" s="207"/>
      <x:c r="I26" s="207"/>
      <x:c r="J26" s="207"/>
      <x:c r="K26" s="207"/>
      <x:c r="L26" s="208"/>
    </x:row>
  </x:sheetData>
  <x:mergeCells>
    <x:mergeCell ref="A1:L1"/>
    <x:mergeCell ref="A2:L2"/>
    <x:mergeCell ref="A7:L7"/>
    <x:mergeCell ref="C8:L8"/>
    <x:mergeCell ref="C9:L9"/>
    <x:mergeCell ref="C10:L10"/>
    <x:mergeCell ref="C11:L11"/>
    <x:mergeCell ref="A13:L13"/>
    <x:mergeCell ref="C14:L14"/>
    <x:mergeCell ref="C15:L15"/>
    <x:mergeCell ref="C16:L16"/>
    <x:mergeCell ref="C17:L17"/>
    <x:mergeCell ref="C18:L18"/>
    <x:mergeCell ref="C19:L19"/>
    <x:mergeCell ref="A21:L21"/>
    <x:mergeCell ref="A22:B22"/>
    <x:mergeCell ref="C22:L22"/>
    <x:mergeCell ref="A23:B23"/>
    <x:mergeCell ref="C23:L23"/>
    <x:mergeCell ref="A24:B24"/>
    <x:mergeCell ref="C24:L24"/>
    <x:mergeCell ref="A25:B25"/>
    <x:mergeCell ref="C25:L25"/>
    <x:mergeCell ref="A26:B26"/>
    <x:mergeCell ref="C26:L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3" hidden="0" customWidth="1"/>
    <x:col min="5" max="5" width="35" hidden="0" customWidth="1"/>
    <x:col min="6" max="6" width="14" hidden="0" customWidth="1"/>
    <x:col min="7" max="7" width="37" hidden="0" customWidth="1"/>
    <x:col min="8" max="8" width="24" hidden="0" customWidth="1"/>
    <x:col min="9" max="9" width="30" hidden="0" customWidth="1"/>
  </x:cols>
  <x:sheetData>
    <x:row r="1" ht="32" customHeight="1">
      <x:c r="A1" s="3" t="str">
        <x:v>智能体会话输入｜把对话转成可审计的旅行者状态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蓝色格由独立站智能体写入。示例展示“客户说清楚的”和“尚未说清楚的潜意图”如何共同影响路线；低置信推断只用于追问。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29" t="str">
        <x:v>示例客户原话</x:v>
      </x:c>
      <x:c r="B4" s="29"/>
      <x:c r="C4" s="29"/>
      <x:c r="D4" s="29"/>
      <x:c r="E4" s="29"/>
      <x:c r="F4" s="29"/>
      <x:c r="G4" s="29"/>
      <x:c r="H4" s="29"/>
      <x:c r="I4" s="29"/>
    </x:row>
    <x:row r="5">
      <x:c r="A5" s="32" t="str">
        <x:v>第一次来重庆，只有三天，和妈妈一起。我们不想走得太累，但想拍到很特别的城市感，也不想全是网红打卡。酒店还没订。</x:v>
      </x:c>
      <x:c r="B5" s="32"/>
      <x:c r="C5" s="32"/>
      <x:c r="D5" s="32"/>
      <x:c r="E5" s="32"/>
      <x:c r="F5" s="32"/>
      <x:c r="G5" s="32"/>
      <x:c r="H5" s="32"/>
      <x:c r="I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</x:row>
    <x:row r="9">
      <x:c r="A9" s="10" t="str">
        <x:v>字段</x:v>
      </x:c>
      <x:c r="B9" s="10" t="str">
        <x:v>当前值</x:v>
      </x:c>
      <x:c r="C9" s="10" t="str">
        <x:v>来源</x:v>
      </x:c>
      <x:c r="D9" s="10" t="str">
        <x:v>置信度</x:v>
      </x:c>
      <x:c r="E9" s="10" t="str">
        <x:v>客户原话证据</x:v>
      </x:c>
      <x:c r="F9" s="10" t="str">
        <x:v>是否需确认</x:v>
      </x:c>
      <x:c r="G9" s="10" t="str">
        <x:v>下一个问题</x:v>
      </x:c>
      <x:c r="H9" s="10" t="str">
        <x:v>允许影响</x:v>
      </x:c>
      <x:c r="I9" s="10" t="str">
        <x:v>内部备注</x:v>
      </x:c>
    </x:row>
    <x:row r="10" ht="48" customHeight="1">
      <x:c r="A10" s="19" t="str">
        <x:v>会话阶段</x:v>
      </x:c>
      <x:c r="B10" s="33" t="str">
        <x:v>路线规划</x:v>
      </x:c>
      <x:c r="C10" s="36" t="str">
        <x:v>显性</x:v>
      </x:c>
      <x:c r="D10" s="25" t="n">
        <x:v>1</x:v>
      </x:c>
      <x:c r="E10" s="19" t="str">
        <x:v>提出三天重庆行程</x:v>
      </x:c>
      <x:c r="F10" s="19" t="str">
        <x:v>否</x:v>
      </x:c>
      <x:c r="G10" s="19" t="str"/>
      <x:c r="H10" s="19" t="str">
        <x:v>决定进入逐日规划</x:v>
      </x:c>
      <x:c r="I10" s="19" t="str">
        <x:v>不是询价阶段</x:v>
      </x:c>
    </x:row>
    <x:row r="11" ht="48" customHeight="1">
      <x:c r="A11" s="20" t="str">
        <x:v>目的地</x:v>
      </x:c>
      <x:c r="B11" s="34" t="str">
        <x:v>重庆主城</x:v>
      </x:c>
      <x:c r="C11" s="37" t="str">
        <x:v>显性</x:v>
      </x:c>
      <x:c r="D11" s="26" t="n">
        <x:v>1</x:v>
      </x:c>
      <x:c r="E11" s="20" t="str">
        <x:v>第一次来重庆</x:v>
      </x:c>
      <x:c r="F11" s="20" t="str">
        <x:v>否</x:v>
      </x:c>
      <x:c r="G11" s="20" t="str"/>
      <x:c r="H11" s="20" t="str">
        <x:v>限定城市数据库</x:v>
      </x:c>
      <x:c r="I11" s="20" t="str"/>
    </x:row>
    <x:row r="12" ht="48" customHeight="1">
      <x:c r="A12" s="20" t="str">
        <x:v>行程天数</x:v>
      </x:c>
      <x:c r="B12" s="34" t="n">
        <x:v>3</x:v>
      </x:c>
      <x:c r="C12" s="37" t="str">
        <x:v>显性</x:v>
      </x:c>
      <x:c r="D12" s="26" t="n">
        <x:v>1</x:v>
      </x:c>
      <x:c r="E12" s="20" t="str">
        <x:v>只有三天</x:v>
      </x:c>
      <x:c r="F12" s="20" t="str">
        <x:v>否</x:v>
      </x:c>
      <x:c r="G12" s="20" t="str"/>
      <x:c r="H12" s="20" t="str">
        <x:v>控制D1—D3</x:v>
      </x:c>
      <x:c r="I12" s="20" t="str">
        <x:v>按有效整天计算</x:v>
      </x:c>
    </x:row>
    <x:row r="13" ht="48" customHeight="1">
      <x:c r="A13" s="20" t="str">
        <x:v>客群</x:v>
      </x:c>
      <x:c r="B13" s="34" t="str">
        <x:v>首次经典</x:v>
      </x:c>
      <x:c r="C13" s="37" t="str">
        <x:v>组合判断</x:v>
      </x:c>
      <x:c r="D13" s="26" t="n">
        <x:v>0.9</x:v>
      </x:c>
      <x:c r="E13" s="20" t="str">
        <x:v>第一次来＋想看特别城市感</x:v>
      </x:c>
      <x:c r="F13" s="20" t="str">
        <x:v>否</x:v>
      </x:c>
      <x:c r="G13" s="20" t="str"/>
      <x:c r="H13" s="20" t="str">
        <x:v>基础画像分</x:v>
      </x:c>
      <x:c r="I13" s="20" t="str">
        <x:v>不向客户展示画像名</x:v>
      </x:c>
    </x:row>
    <x:row r="14" ht="48" customHeight="1">
      <x:c r="A14" s="20" t="str">
        <x:v>同行人</x:v>
      </x:c>
      <x:c r="B14" s="34" t="str">
        <x:v>母女/母子两人</x:v>
      </x:c>
      <x:c r="C14" s="37" t="str">
        <x:v>显性</x:v>
      </x:c>
      <x:c r="D14" s="26" t="n">
        <x:v>1</x:v>
      </x:c>
      <x:c r="E14" s="20" t="str">
        <x:v>和妈妈一起</x:v>
      </x:c>
      <x:c r="F14" s="20" t="str">
        <x:v>是</x:v>
      </x:c>
      <x:c r="G14" s="20" t="str">
        <x:v>妈妈每天能连续走多久？台阶是否有问题？</x:v>
      </x:c>
      <x:c r="H14" s="20" t="str">
        <x:v>触发体力确认</x:v>
      </x:c>
      <x:c r="I14" s="20" t="str">
        <x:v>不能自动判定妈妈低体力</x:v>
      </x:c>
    </x:row>
    <x:row r="15" ht="48" customHeight="1">
      <x:c r="A15" s="20" t="str">
        <x:v>体力</x:v>
      </x:c>
      <x:c r="B15" s="34" t="str">
        <x:v>低</x:v>
      </x:c>
      <x:c r="C15" s="37" t="str">
        <x:v>潜意图</x:v>
      </x:c>
      <x:c r="D15" s="26" t="n">
        <x:v>0.75</x:v>
      </x:c>
      <x:c r="E15" s="20" t="str">
        <x:v>不想走得太累＋与妈妈同行</x:v>
      </x:c>
      <x:c r="F15" s="20" t="str">
        <x:v>是</x:v>
      </x:c>
      <x:c r="G15" s="20" t="str">
        <x:v>连续步行和台阶可接受多少？</x:v>
      </x:c>
      <x:c r="H15" s="20" t="str">
        <x:v>体力修正</x:v>
      </x:c>
      <x:c r="I15" s="20" t="str">
        <x:v>确认前不作医学假设</x:v>
      </x:c>
    </x:row>
    <x:row r="16" ht="48" customHeight="1">
      <x:c r="A16" s="20" t="str">
        <x:v>天气</x:v>
      </x:c>
      <x:c r="B16" s="34" t="str">
        <x:v>正常</x:v>
      </x:c>
      <x:c r="C16" s="37" t="str">
        <x:v>默认</x:v>
      </x:c>
      <x:c r="D16" s="26" t="n">
        <x:v>0.3</x:v>
      </x:c>
      <x:c r="E16" s="20" t="str">
        <x:v>未提及</x:v>
      </x:c>
      <x:c r="F16" s="20" t="str">
        <x:v>是</x:v>
      </x:c>
      <x:c r="G16" s="20" t="str">
        <x:v>出行月份和大致日期是什么？</x:v>
      </x:c>
      <x:c r="H16" s="20" t="str">
        <x:v>天气修正</x:v>
      </x:c>
      <x:c r="I16" s="20" t="str">
        <x:v>低置信默认仅用于演示</x:v>
      </x:c>
    </x:row>
    <x:row r="17" ht="48" customHeight="1">
      <x:c r="A17" s="20" t="str">
        <x:v>第4天版本</x:v>
      </x:c>
      <x:c r="B17" s="34" t="str">
        <x:v>开埠徒步</x:v>
      </x:c>
      <x:c r="C17" s="37" t="str">
        <x:v>默认</x:v>
      </x:c>
      <x:c r="D17" s="26" t="n">
        <x:v>0.1</x:v>
      </x:c>
      <x:c r="E17" s="20" t="str">
        <x:v>只有三天，实际不生效</x:v>
      </x:c>
      <x:c r="F17" s="20" t="str">
        <x:v>否</x:v>
      </x:c>
      <x:c r="G17" s="20" t="str"/>
      <x:c r="H17" s="20" t="str">
        <x:v>D4修正</x:v>
      </x:c>
      <x:c r="I17" s="20" t="str"/>
    </x:row>
    <x:row r="18" ht="48" customHeight="1">
      <x:c r="A18" s="20" t="str">
        <x:v>输出长度</x:v>
      </x:c>
      <x:c r="B18" s="34" t="str">
        <x:v>标准</x:v>
      </x:c>
      <x:c r="C18" s="37" t="str">
        <x:v>系统默认</x:v>
      </x:c>
      <x:c r="D18" s="26" t="n">
        <x:v>1</x:v>
      </x:c>
      <x:c r="E18" s="20" t="str">
        <x:v>每个完整日3个模块</x:v>
      </x:c>
      <x:c r="F18" s="20" t="str"/>
      <x:c r="G18" s="20" t="str"/>
      <x:c r="H18" s="20" t="str">
        <x:v>信息预算</x:v>
      </x:c>
      <x:c r="I18" s="20" t="str"/>
    </x:row>
    <x:row r="19" ht="48" customHeight="1">
      <x:c r="A19" s="20" t="str">
        <x:v>抵离时间</x:v>
      </x:c>
      <x:c r="B19" s="34" t="str"/>
      <x:c r="C19" s="37" t="str">
        <x:v>未知</x:v>
      </x:c>
      <x:c r="D19" s="26" t="n">
        <x:v>0</x:v>
      </x:c>
      <x:c r="E19" s="20" t="str">
        <x:v>未提及</x:v>
      </x:c>
      <x:c r="F19" s="20" t="str">
        <x:v>是</x:v>
      </x:c>
      <x:c r="G19" s="20" t="str">
        <x:v>哪天几点能从酒店出发，最后一天几点离开？</x:v>
      </x:c>
      <x:c r="H19" s="20" t="str">
        <x:v>有效旅行时长</x:v>
      </x:c>
      <x:c r="I19" s="20" t="str">
        <x:v>发布前必问</x:v>
      </x:c>
    </x:row>
    <x:row r="20" ht="48" customHeight="1">
      <x:c r="A20" s="20" t="str">
        <x:v>酒店区域</x:v>
      </x:c>
      <x:c r="B20" s="34" t="str"/>
      <x:c r="C20" s="37" t="str">
        <x:v>未知</x:v>
      </x:c>
      <x:c r="D20" s="26" t="n">
        <x:v>0</x:v>
      </x:c>
      <x:c r="E20" s="20" t="str">
        <x:v>酒店还没订</x:v>
      </x:c>
      <x:c r="F20" s="20" t="str">
        <x:v>是</x:v>
      </x:c>
      <x:c r="G20" s="20" t="str">
        <x:v>更想住解放碑附近，还是愿意住在更安静的区域？</x:v>
      </x:c>
      <x:c r="H20" s="20" t="str">
        <x:v>转场与早晚安排</x:v>
      </x:c>
      <x:c r="I20" s="20" t="str"/>
    </x:row>
    <x:row r="21" ht="48" customHeight="1">
      <x:c r="A21" s="20" t="str">
        <x:v>必须包含</x:v>
      </x:c>
      <x:c r="B21" s="34" t="str">
        <x:v>立体城市感</x:v>
      </x:c>
      <x:c r="C21" s="37" t="str">
        <x:v>显性</x:v>
      </x:c>
      <x:c r="D21" s="26" t="n">
        <x:v>0.95</x:v>
      </x:c>
      <x:c r="E21" s="20" t="str">
        <x:v>想拍到很特别的城市感</x:v>
      </x:c>
      <x:c r="F21" s="20" t="str">
        <x:v>否</x:v>
      </x:c>
      <x:c r="G21" s="20" t="str"/>
      <x:c r="H21" s="20" t="str">
        <x:v>提高视觉模块</x:v>
      </x:c>
      <x:c r="I21" s="20" t="str"/>
    </x:row>
    <x:row r="22" ht="48" customHeight="1">
      <x:c r="A22" s="20" t="str">
        <x:v>明确排除</x:v>
      </x:c>
      <x:c r="B22" s="34" t="str">
        <x:v>全程网红打卡</x:v>
      </x:c>
      <x:c r="C22" s="37" t="str">
        <x:v>显性</x:v>
      </x:c>
      <x:c r="D22" s="26" t="n">
        <x:v>0.9</x:v>
      </x:c>
      <x:c r="E22" s="20" t="str">
        <x:v>不想全是网红打卡</x:v>
      </x:c>
      <x:c r="F22" s="20" t="str">
        <x:v>是</x:v>
      </x:c>
      <x:c r="G22" s="20" t="str">
        <x:v>可以保留一个代表性经典点作为入口吗？</x:v>
      </x:c>
      <x:c r="H22" s="20" t="str">
        <x:v>去重与在地生活加权</x:v>
      </x:c>
      <x:c r="I22" s="20" t="str">
        <x:v>不是删除所有热门地标</x:v>
      </x:c>
    </x:row>
    <x:row r="23" ht="48" customHeight="1">
      <x:c r="A23" s="20" t="str">
        <x:v>预算</x:v>
      </x:c>
      <x:c r="B23" s="34" t="str"/>
      <x:c r="C23" s="37" t="str">
        <x:v>未知</x:v>
      </x:c>
      <x:c r="D23" s="26" t="n">
        <x:v>0</x:v>
      </x:c>
      <x:c r="E23" s="20" t="str">
        <x:v>未提及</x:v>
      </x:c>
      <x:c r="F23" s="20" t="str">
        <x:v>否</x:v>
      </x:c>
      <x:c r="G23" s="20" t="str">
        <x:v>接近报价时再问</x:v>
      </x:c>
      <x:c r="H23" s="20" t="str">
        <x:v>服务层级</x:v>
      </x:c>
      <x:c r="I23" s="20" t="str">
        <x:v>当前不阻断免费路书</x:v>
      </x:c>
    </x:row>
    <x:row r="24" ht="48" customHeight="1">
      <x:c r="A24" s="20" t="str">
        <x:v>语言/工具</x:v>
      </x:c>
      <x:c r="B24" s="34" t="str"/>
      <x:c r="C24" s="37" t="str">
        <x:v>未知</x:v>
      </x:c>
      <x:c r="D24" s="26" t="n">
        <x:v>0</x:v>
      </x:c>
      <x:c r="E24" s="20" t="str">
        <x:v>未提及</x:v>
      </x:c>
      <x:c r="F24" s="20" t="str">
        <x:v>是</x:v>
      </x:c>
      <x:c r="G24" s="20" t="str">
        <x:v>中文、支付和地图工具的使用情况怎样？</x:v>
      </x:c>
      <x:c r="H24" s="20" t="str">
        <x:v>独立执行难度</x:v>
      </x:c>
      <x:c r="I24" s="20" t="str"/>
    </x:row>
    <x:row r="25" ht="48" customHeight="1">
      <x:c r="A25" s="21" t="str">
        <x:v>饮食/医疗</x:v>
      </x:c>
      <x:c r="B25" s="35" t="str"/>
      <x:c r="C25" s="38" t="str">
        <x:v>未知</x:v>
      </x:c>
      <x:c r="D25" s="27" t="n">
        <x:v>0</x:v>
      </x:c>
      <x:c r="E25" s="21" t="str">
        <x:v>未提及</x:v>
      </x:c>
      <x:c r="F25" s="21" t="str">
        <x:v>是</x:v>
      </x:c>
      <x:c r="G25" s="21" t="str">
        <x:v>有过敏、忌口或不能吃辣吗？</x:v>
      </x:c>
      <x:c r="H25" s="21" t="str">
        <x:v>食物体验安全</x:v>
      </x:c>
      <x:c r="I25" s="21" t="str">
        <x:v>涉及收费体验时阻断</x:v>
      </x:c>
    </x:row>
    <x:row r="27">
      <x:c r="A27" s="39" t="str">
        <x:v>八个可检索潜意图维度｜强度0—5；只有置信度≥50%才能参与排序</x:v>
      </x:c>
      <x:c r="B27" s="39"/>
      <x:c r="C27" s="39"/>
      <x:c r="D27" s="39"/>
      <x:c r="E27" s="39"/>
      <x:c r="F27" s="39"/>
      <x:c r="G27" s="39"/>
      <x:c r="H27" s="39"/>
      <x:c r="I27" s="39"/>
    </x:row>
    <x:row r="28">
      <x:c r="A28" s="10" t="str">
        <x:v>意图维度</x:v>
      </x:c>
      <x:c r="B28" s="10" t="str">
        <x:v>强度0-5</x:v>
      </x:c>
      <x:c r="C28" s="10" t="str">
        <x:v>置信度</x:v>
      </x:c>
      <x:c r="D28" s="10" t="str">
        <x:v>客户原话证据</x:v>
      </x:c>
      <x:c r="E28" s="10" t="str">
        <x:v>推断理由</x:v>
      </x:c>
      <x:c r="F28" s="10" t="str">
        <x:v>是否参与排序</x:v>
      </x:c>
      <x:c r="G28" s="10" t="str">
        <x:v>允许影响</x:v>
      </x:c>
      <x:c r="H28" s="10" t="str">
        <x:v>禁止越界</x:v>
      </x:c>
    </x:row>
    <x:row r="29" ht="50" customHeight="1">
      <x:c r="A29" s="19" t="str">
        <x:v>视觉奇观</x:v>
      </x:c>
      <x:c r="B29" s="40" t="n">
        <x:v>5</x:v>
      </x:c>
      <x:c r="C29" s="43" t="n">
        <x:v>0.95</x:v>
      </x:c>
      <x:c r="D29" s="19" t="str">
        <x:v>拍到很特别的城市感</x:v>
      </x:c>
      <x:c r="E29" s="19" t="str">
        <x:v>目标直接指向不可替代的城市视觉</x:v>
      </x:c>
      <x:c r="F29" s="19" t="str">
        <x:v>是</x:v>
      </x:c>
      <x:c r="G29" s="19" t="str">
        <x:v>模块排序</x:v>
      </x:c>
      <x:c r="H29" s="19" t="str">
        <x:v>不等同于只拍网红机位</x:v>
      </x:c>
    </x:row>
    <x:row r="30" ht="50" customHeight="1">
      <x:c r="A30" s="20" t="str">
        <x:v>历史理解</x:v>
      </x:c>
      <x:c r="B30" s="41" t="n">
        <x:v>2</x:v>
      </x:c>
      <x:c r="C30" s="44" t="n">
        <x:v>0.35</x:v>
      </x:c>
      <x:c r="D30" s="20" t="str">
        <x:v>未直接提及</x:v>
      </x:c>
      <x:c r="E30" s="20" t="str">
        <x:v>只有反网红表达，证据不足</x:v>
      </x:c>
      <x:c r="F30" s="20" t="str">
        <x:v>仅追问</x:v>
      </x:c>
      <x:c r="G30" s="20" t="str">
        <x:v>不影响排序</x:v>
      </x:c>
      <x:c r="H30" s="20" t="str">
        <x:v>不能自动加长历史讲解</x:v>
      </x:c>
    </x:row>
    <x:row r="31" ht="50" customHeight="1">
      <x:c r="A31" s="20" t="str">
        <x:v>在地生活</x:v>
      </x:c>
      <x:c r="B31" s="41" t="n">
        <x:v>4</x:v>
      </x:c>
      <x:c r="C31" s="44" t="n">
        <x:v>0.8</x:v>
      </x:c>
      <x:c r="D31" s="20" t="str">
        <x:v>不想全是网红打卡</x:v>
      </x:c>
      <x:c r="E31" s="20" t="str">
        <x:v>可能希望真实感和差异化</x:v>
      </x:c>
      <x:c r="F31" s="20" t="str">
        <x:v>是</x:v>
      </x:c>
      <x:c r="G31" s="20" t="str">
        <x:v>模块排序</x:v>
      </x:c>
      <x:c r="H31" s="20" t="str">
        <x:v>不能进入居民私域</x:v>
      </x:c>
    </x:row>
    <x:row r="32" ht="50" customHeight="1">
      <x:c r="A32" s="20" t="str">
        <x:v>饮食互动</x:v>
      </x:c>
      <x:c r="B32" s="41" t="n">
        <x:v>2</x:v>
      </x:c>
      <x:c r="C32" s="44" t="n">
        <x:v>0.2</x:v>
      </x:c>
      <x:c r="D32" s="20" t="str">
        <x:v>未提及</x:v>
      </x:c>
      <x:c r="E32" s="20" t="str">
        <x:v>默认值，证据不足</x:v>
      </x:c>
      <x:c r="F32" s="20" t="str">
        <x:v>仅追问</x:v>
      </x:c>
      <x:c r="G32" s="20" t="str">
        <x:v>不影响排序</x:v>
      </x:c>
      <x:c r="H32" s="20" t="str">
        <x:v>不能假定能吃辣</x:v>
      </x:c>
    </x:row>
    <x:row r="33" ht="50" customHeight="1">
      <x:c r="A33" s="20" t="str">
        <x:v>低摩擦</x:v>
      </x:c>
      <x:c r="B33" s="41" t="n">
        <x:v>5</x:v>
      </x:c>
      <x:c r="C33" s="44" t="n">
        <x:v>0.75</x:v>
      </x:c>
      <x:c r="D33" s="20" t="str">
        <x:v>和妈妈一起；不想太累</x:v>
      </x:c>
      <x:c r="E33" s="20" t="str">
        <x:v>可能重视节奏与转场确定性</x:v>
      </x:c>
      <x:c r="F33" s="20" t="str">
        <x:v>是</x:v>
      </x:c>
      <x:c r="G33" s="20" t="str">
        <x:v>模块排序与体力修正</x:v>
      </x:c>
      <x:c r="H33" s="20" t="str">
        <x:v>不等同于行动不便</x:v>
      </x:c>
    </x:row>
    <x:row r="34" ht="50" customHeight="1">
      <x:c r="A34" s="20" t="str">
        <x:v>摄影创作</x:v>
      </x:c>
      <x:c r="B34" s="41" t="n">
        <x:v>4</x:v>
      </x:c>
      <x:c r="C34" s="44" t="n">
        <x:v>0.9</x:v>
      </x:c>
      <x:c r="D34" s="20" t="str">
        <x:v>想拍到很特别</x:v>
      </x:c>
      <x:c r="E34" s="20" t="str">
        <x:v>明确存在影像目标</x:v>
      </x:c>
      <x:c r="F34" s="20" t="str">
        <x:v>是</x:v>
      </x:c>
      <x:c r="G34" s="20" t="str">
        <x:v>模块排序</x:v>
      </x:c>
      <x:c r="H34" s="20" t="str">
        <x:v>不能假定商业拍摄</x:v>
      </x:c>
    </x:row>
    <x:row r="35" ht="50" customHeight="1">
      <x:c r="A35" s="20" t="str">
        <x:v>亲子教育</x:v>
      </x:c>
      <x:c r="B35" s="41" t="n">
        <x:v>0</x:v>
      </x:c>
      <x:c r="C35" s="44" t="n">
        <x:v>0</x:v>
      </x:c>
      <x:c r="D35" s="20" t="str">
        <x:v>未提及</x:v>
      </x:c>
      <x:c r="E35" s="20" t="str">
        <x:v>无证据</x:v>
      </x:c>
      <x:c r="F35" s="20" t="str">
        <x:v>仅追问</x:v>
      </x:c>
      <x:c r="G35" s="20" t="str">
        <x:v>不影响排序</x:v>
      </x:c>
      <x:c r="H35" s="20" t="str">
        <x:v>不能从家庭同行推断亲子</x:v>
      </x:c>
    </x:row>
    <x:row r="36" ht="50" customHeight="1">
      <x:c r="A36" s="21" t="str">
        <x:v>复游新鲜感</x:v>
      </x:c>
      <x:c r="B36" s="42" t="n">
        <x:v>4</x:v>
      </x:c>
      <x:c r="C36" s="45" t="n">
        <x:v>0.8</x:v>
      </x:c>
      <x:c r="D36" s="21" t="str">
        <x:v>不想全是网红打卡</x:v>
      </x:c>
      <x:c r="E36" s="21" t="str">
        <x:v>希望减少同质化体验</x:v>
      </x:c>
      <x:c r="F36" s="21" t="str">
        <x:v>是</x:v>
      </x:c>
      <x:c r="G36" s="21" t="str">
        <x:v>模块排序与去重</x:v>
      </x:c>
      <x:c r="H36" s="21" t="str">
        <x:v>首访仍可保留一个代表性入口</x:v>
      </x:c>
    </x:row>
    <x:row r="38">
      <x:c r="A38" s="29" t="str">
        <x:v>当前追问队列｜每轮最多问2个，先问会改变安全与路线的问题</x:v>
      </x:c>
      <x:c r="B38" s="29"/>
      <x:c r="C38" s="29"/>
      <x:c r="D38" s="29"/>
      <x:c r="E38" s="29"/>
      <x:c r="F38" s="29"/>
      <x:c r="G38" s="29"/>
      <x:c r="H38" s="29"/>
      <x:c r="I38" s="29"/>
    </x:row>
    <x:row r="39" ht="42" customHeight="1">
      <x:c r="A39" s="48" t="n">
        <x:v>1</x:v>
      </x:c>
      <x:c r="B39" s="48" t="str">
        <x:v>体力确认</x:v>
      </x:c>
      <x:c r="C39" s="67" t="str">
        <x:v>妈妈每天能连续走多久？连续台阶或膝关节有没有限制？</x:v>
      </x:c>
      <x:c r="D39" s="68"/>
      <x:c r="E39" s="68"/>
      <x:c r="F39" s="68"/>
      <x:c r="G39" s="68"/>
      <x:c r="H39" s="68"/>
      <x:c r="I39" s="69"/>
    </x:row>
    <x:row r="40" ht="42" customHeight="1">
      <x:c r="A40" s="48" t="n">
        <x:v>2</x:v>
      </x:c>
      <x:c r="B40" s="48" t="str">
        <x:v>有效时间</x:v>
      </x:c>
      <x:c r="C40" s="70" t="str">
        <x:v>哪天几点能从酒店出发，最后一天几点必须离开？</x:v>
      </x:c>
      <x:c r="D40" s="71"/>
      <x:c r="E40" s="71"/>
      <x:c r="F40" s="71"/>
      <x:c r="G40" s="71"/>
      <x:c r="H40" s="71"/>
      <x:c r="I40" s="72"/>
    </x:row>
    <x:row r="41" ht="42" customHeight="1">
      <x:c r="A41" s="48" t="n">
        <x:v>3</x:v>
      </x:c>
      <x:c r="B41" s="48" t="str">
        <x:v>经典点取舍</x:v>
      </x:c>
      <x:c r="C41" s="70" t="str">
        <x:v>可以保留一个代表性经典点作为城市入口吗？</x:v>
      </x:c>
      <x:c r="D41" s="71"/>
      <x:c r="E41" s="71"/>
      <x:c r="F41" s="71"/>
      <x:c r="G41" s="71"/>
      <x:c r="H41" s="71"/>
      <x:c r="I41" s="72"/>
    </x:row>
    <x:row r="42" ht="42" customHeight="1">
      <x:c r="A42" s="48" t="n">
        <x:v>4</x:v>
      </x:c>
      <x:c r="B42" s="48" t="str">
        <x:v>语言与工具</x:v>
      </x:c>
      <x:c r="C42" s="70" t="str">
        <x:v>中文、支付和地图工具的使用情况怎样？</x:v>
      </x:c>
      <x:c r="D42" s="71"/>
      <x:c r="E42" s="71"/>
      <x:c r="F42" s="71"/>
      <x:c r="G42" s="71"/>
      <x:c r="H42" s="71"/>
      <x:c r="I42" s="72"/>
    </x:row>
    <x:row r="43" ht="42" customHeight="1">
      <x:c r="A43" s="48" t="n">
        <x:v>5</x:v>
      </x:c>
      <x:c r="B43" s="48" t="str">
        <x:v>饮食安全</x:v>
      </x:c>
      <x:c r="C43" s="73" t="str">
        <x:v>有过敏、忌口或不能吃辣吗？</x:v>
      </x:c>
      <x:c r="D43" s="74"/>
      <x:c r="E43" s="74"/>
      <x:c r="F43" s="74"/>
      <x:c r="G43" s="74"/>
      <x:c r="H43" s="74"/>
      <x:c r="I43" s="75"/>
    </x:row>
  </x:sheetData>
  <x:mergeCells>
    <x:mergeCell ref="A1:I1"/>
    <x:mergeCell ref="A2:I2"/>
    <x:mergeCell ref="A4:I4"/>
    <x:mergeCell ref="A5:I7"/>
    <x:mergeCell ref="A27:I27"/>
    <x:mergeCell ref="A38:I38"/>
    <x:mergeCell ref="C39:I39"/>
    <x:mergeCell ref="C40:I40"/>
    <x:mergeCell ref="C41:I41"/>
    <x:mergeCell ref="C42:I42"/>
    <x:mergeCell ref="C43:I43"/>
  </x:mergeCells>
  <x:dataValidations count="8">
    <x:dataValidation type="list" sqref="B12">
      <x:formula1>"2,3,4"</x:formula1>
    </x:dataValidation>
    <x:dataValidation type="list" sqref="B13">
      <x:formula1>"首次经典,赛博摄影,文化历史,美食生活,亲子轻松,复游客"</x:formula1>
    </x:dataValidation>
    <x:dataValidation type="list" sqref="B15">
      <x:formula1>"高,中,低"</x:formula1>
    </x:dataValidation>
    <x:dataValidation type="list" sqref="B16">
      <x:formula1>"正常,炎热,雨天"</x:formula1>
    </x:dataValidation>
    <x:dataValidation type="list" sqref="B17">
      <x:formula1>"开埠徒步,工业艺术"</x:formula1>
    </x:dataValidation>
    <x:dataValidation type="list" sqref="B18">
      <x:formula1>"精简,标准,深度"</x:formula1>
    </x:dataValidation>
    <x:dataValidation type="whole" operator="between" sqref="B29:B36">
      <x:formula1>0</x:formula1>
      <x:formula2>5</x:formula2>
    </x:dataValidation>
    <x:dataValidation type="decimal" operator="between" sqref="C29:C36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5" hidden="0" customWidth="1"/>
    <x:col min="3" max="3" width="16" hidden="0" customWidth="1"/>
    <x:col min="4" max="4" width="29" hidden="0" customWidth="1"/>
    <x:col min="5" max="5" width="18" hidden="0" customWidth="1"/>
    <x:col min="6" max="6" width="13" hidden="0" customWidth="1"/>
    <x:col min="7" max="7" width="38" hidden="0" customWidth="1"/>
    <x:col min="8" max="8" width="13" hidden="0" customWidth="1"/>
    <x:col min="9" max="9" width="13" hidden="0" customWidth="1"/>
    <x:col min="10" max="10" width="36" hidden="0" customWidth="1"/>
    <x:col min="11" max="11" width="38" hidden="0" customWidth="1"/>
  </x:cols>
  <x:sheetData>
    <x:row r="1" ht="32" customHeight="1">
      <x:c r="A1" s="3" t="str">
        <x:v>对话信号库｜识别需要，但不越过证据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7" t="str">
        <x:v>例句只是语言模式，不是关键词触发器。潜意图必须结合上下文、客户原话和置信度；会影响安全、收费或履约的内容一律追问确认。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 ht="34" customHeight="1">
      <x:c r="A5" s="11" t="str">
        <x:v>信号ID</x:v>
      </x:c>
      <x:c r="B5" s="11" t="str">
        <x:v>客户表达示例</x:v>
      </x:c>
      <x:c r="C5" s="11" t="str">
        <x:v>信号类型</x:v>
      </x:c>
      <x:c r="D5" s="11" t="str">
        <x:v>可能需要/状态</x:v>
      </x:c>
      <x:c r="E5" s="11" t="str">
        <x:v>证据来源</x:v>
      </x:c>
      <x:c r="F5" s="11" t="str">
        <x:v>置信度上限</x:v>
      </x:c>
      <x:c r="G5" s="11" t="str">
        <x:v>允许动作</x:v>
      </x:c>
      <x:c r="H5" s="11" t="str">
        <x:v>可影响排序</x:v>
      </x:c>
      <x:c r="I5" s="11" t="str">
        <x:v>必须确认</x:v>
      </x:c>
      <x:c r="J5" s="11" t="str">
        <x:v>建议追问</x:v>
      </x:c>
      <x:c r="K5" s="11" t="str">
        <x:v>禁止过度推断</x:v>
      </x:c>
    </x:row>
    <x:row r="6" ht="58" customHeight="1">
      <x:c r="A6" s="19" t="str">
        <x:v>SG01</x:v>
      </x:c>
      <x:c r="B6" s="19" t="str">
        <x:v>“第一次来重庆”“只有三天”</x:v>
      </x:c>
      <x:c r="C6" s="19" t="str">
        <x:v>显性事实</x:v>
      </x:c>
      <x:c r="D6" s="19" t="str">
        <x:v>首访与时间预算</x:v>
      </x:c>
      <x:c r="E6" s="19" t="str">
        <x:v>客户直接陈述</x:v>
      </x:c>
      <x:c r="F6" s="25" t="n">
        <x:v>1</x:v>
      </x:c>
      <x:c r="G6" s="19" t="str">
        <x:v>写入硬行程字段；优先经典框架</x:v>
      </x:c>
      <x:c r="H6" s="19" t="str">
        <x:v>是</x:v>
      </x:c>
      <x:c r="I6" s="19" t="str">
        <x:v>否</x:v>
      </x:c>
      <x:c r="J6" s="19" t="str">
        <x:v>还需要知道抵离时间吗？</x:v>
      </x:c>
      <x:c r="K6" s="19" t="str">
        <x:v>不能据此推断预算或体力</x:v>
      </x:c>
    </x:row>
    <x:row r="7" ht="58" customHeight="1">
      <x:c r="A7" s="20" t="str">
        <x:v>SG02</x:v>
      </x:c>
      <x:c r="B7" s="20" t="str">
        <x:v>“和妈妈/父母一起”</x:v>
      </x:c>
      <x:c r="C7" s="20" t="str">
        <x:v>潜在约束</x:v>
      </x:c>
      <x:c r="D7" s="20" t="str">
        <x:v>可能重视体力、休息和确定性</x:v>
      </x:c>
      <x:c r="E7" s="20" t="str">
        <x:v>同行关系＋上下文</x:v>
      </x:c>
      <x:c r="F7" s="26" t="n">
        <x:v>0.75</x:v>
      </x:c>
      <x:c r="G7" s="20" t="str">
        <x:v>提高低摩擦候选，但不直接删除步道</x:v>
      </x:c>
      <x:c r="H7" s="20" t="str">
        <x:v>是</x:v>
      </x:c>
      <x:c r="I7" s="20" t="str">
        <x:v>是</x:v>
      </x:c>
      <x:c r="J7" s="20" t="str">
        <x:v>每天能连续走多久？台阶是否有问题？</x:v>
      </x:c>
      <x:c r="K7" s="20" t="str">
        <x:v>不能把父母自动等同于行动不便</x:v>
      </x:c>
    </x:row>
    <x:row r="8" ht="58" customHeight="1">
      <x:c r="A8" s="20" t="str">
        <x:v>SG03</x:v>
      </x:c>
      <x:c r="B8" s="20" t="str">
        <x:v>“不想太累”</x:v>
      </x:c>
      <x:c r="C8" s="20" t="str">
        <x:v>显性偏好</x:v>
      </x:c>
      <x:c r="D8" s="20" t="str">
        <x:v>低体力或慢节奏</x:v>
      </x:c>
      <x:c r="E8" s="20" t="str">
        <x:v>客户直接陈述</x:v>
      </x:c>
      <x:c r="F8" s="26" t="n">
        <x:v>0.95</x:v>
      </x:c>
      <x:c r="G8" s="20" t="str">
        <x:v>降低长台阶、增加休息和短转场</x:v>
      </x:c>
      <x:c r="H8" s="20" t="str">
        <x:v>是</x:v>
      </x:c>
      <x:c r="I8" s="20" t="str">
        <x:v>是</x:v>
      </x:c>
      <x:c r="J8" s="20" t="str">
        <x:v>连续步行和台阶大约能接受多少？</x:v>
      </x:c>
      <x:c r="K8" s="20" t="str">
        <x:v>不能只用年龄判断体力</x:v>
      </x:c>
    </x:row>
    <x:row r="9" ht="58" customHeight="1">
      <x:c r="A9" s="20" t="str">
        <x:v>SG04</x:v>
      </x:c>
      <x:c r="B9" s="20" t="str">
        <x:v>“想拍到很特别的城市感”</x:v>
      </x:c>
      <x:c r="C9" s="20" t="str">
        <x:v>潜在目标</x:v>
      </x:c>
      <x:c r="D9" s="20" t="str">
        <x:v>视觉奇观＋摄影创作</x:v>
      </x:c>
      <x:c r="E9" s="20" t="str">
        <x:v>目标措辞</x:v>
      </x:c>
      <x:c r="F9" s="26" t="n">
        <x:v>0.9</x:v>
      </x:c>
      <x:c r="G9" s="20" t="str">
        <x:v>提高多重地面、单轨和城市剖面模块</x:v>
      </x:c>
      <x:c r="H9" s="20" t="str">
        <x:v>是</x:v>
      </x:c>
      <x:c r="I9" s="20" t="str">
        <x:v>否</x:v>
      </x:c>
      <x:c r="J9" s="20" t="str">
        <x:v>更重视白天建筑、夜景还是视频素材？</x:v>
      </x:c>
      <x:c r="K9" s="20" t="str">
        <x:v>不能自动推断其为职业创作者</x:v>
      </x:c>
    </x:row>
    <x:row r="10" ht="58" customHeight="1">
      <x:c r="A10" s="20" t="str">
        <x:v>SG05</x:v>
      </x:c>
      <x:c r="B10" s="20" t="str">
        <x:v>“不想全是网红打卡”</x:v>
      </x:c>
      <x:c r="C10" s="20" t="str">
        <x:v>潜在目标</x:v>
      </x:c>
      <x:c r="D10" s="20" t="str">
        <x:v>真实感、解释深度和反同质化</x:v>
      </x:c>
      <x:c r="E10" s="20" t="str">
        <x:v>价值判断</x:v>
      </x:c>
      <x:c r="F10" s="26" t="n">
        <x:v>0.8</x:v>
      </x:c>
      <x:c r="G10" s="20" t="str">
        <x:v>保留一个代表性钩子，同时提高在地生活和历史解释</x:v>
      </x:c>
      <x:c r="H10" s="20" t="str">
        <x:v>是</x:v>
      </x:c>
      <x:c r="I10" s="20" t="str">
        <x:v>是</x:v>
      </x:c>
      <x:c r="J10" s="20" t="str">
        <x:v>可以保留一个经典点作为城市入口吗？</x:v>
      </x:c>
      <x:c r="K10" s="20" t="str">
        <x:v>不能把所有热门地标全部删除</x:v>
      </x:c>
    </x:row>
    <x:row r="11" ht="58" customHeight="1">
      <x:c r="A11" s="20" t="str">
        <x:v>SG06</x:v>
      </x:c>
      <x:c r="B11" s="20" t="str">
        <x:v>“随便，你安排”</x:v>
      </x:c>
      <x:c r="C11" s="20" t="str">
        <x:v>潜在状态</x:v>
      </x:c>
      <x:c r="D11" s="20" t="str">
        <x:v>决策疲劳或信任测试</x:v>
      </x:c>
      <x:c r="E11" s="20" t="str">
        <x:v>对选择的回避</x:v>
      </x:c>
      <x:c r="F11" s="26" t="n">
        <x:v>0.65</x:v>
      </x:c>
      <x:c r="G11" s="20" t="str">
        <x:v>只给两个方向，不继续堆选项</x:v>
      </x:c>
      <x:c r="H11" s="20" t="str">
        <x:v>否</x:v>
      </x:c>
      <x:c r="I11" s="20" t="str">
        <x:v>是</x:v>
      </x:c>
      <x:c r="J11" s="20" t="str">
        <x:v>你更怕走累，还是更怕错过代表性体验？</x:v>
      </x:c>
      <x:c r="K11" s="20" t="str">
        <x:v>不能理解成没有偏好</x:v>
      </x:c>
    </x:row>
    <x:row r="12" ht="58" customHeight="1">
      <x:c r="A12" s="20" t="str">
        <x:v>SG07</x:v>
      </x:c>
      <x:c r="B12" s="20" t="str">
        <x:v>“我是背包客”</x:v>
      </x:c>
      <x:c r="C12" s="20" t="str">
        <x:v>身份线索</x:v>
      </x:c>
      <x:c r="D12" s="20" t="str">
        <x:v>自主、灵活和探索倾向</x:v>
      </x:c>
      <x:c r="E12" s="20" t="str">
        <x:v>自我描述</x:v>
      </x:c>
      <x:c r="F12" s="26" t="n">
        <x:v>0.65</x:v>
      </x:c>
      <x:c r="G12" s="20" t="str">
        <x:v>提高公共交通、徒步和非标准街区的候选</x:v>
      </x:c>
      <x:c r="H12" s="20" t="str">
        <x:v>是</x:v>
      </x:c>
      <x:c r="I12" s="20" t="str">
        <x:v>是</x:v>
      </x:c>
      <x:c r="J12" s="20" t="str">
        <x:v>这次更看重预算、自由度还是深度？</x:v>
      </x:c>
      <x:c r="K12" s="20" t="str">
        <x:v>不能自动等同于低预算</x:v>
      </x:c>
    </x:row>
    <x:row r="13" ht="58" customHeight="1">
      <x:c r="A13" s="20" t="str">
        <x:v>SG08</x:v>
      </x:c>
      <x:c r="B13" s="20" t="str">
        <x:v>“预算不是问题”</x:v>
      </x:c>
      <x:c r="C13" s="20" t="str">
        <x:v>交易线索</x:v>
      </x:c>
      <x:c r="D13" s="20" t="str">
        <x:v>可能更重视省时、私密或高确定性</x:v>
      </x:c>
      <x:c r="E13" s="20" t="str">
        <x:v>付费态度</x:v>
      </x:c>
      <x:c r="F13" s="26" t="n">
        <x:v>0.7</x:v>
      </x:c>
      <x:c r="G13" s="20" t="str">
        <x:v>可展示人工校验、司机或专家服务</x:v>
      </x:c>
      <x:c r="H13" s="20" t="str">
        <x:v>否</x:v>
      </x:c>
      <x:c r="I13" s="20" t="str">
        <x:v>是</x:v>
      </x:c>
      <x:c r="J13" s="20" t="str">
        <x:v>您更愿意为省时间、专业讲解还是独家体验付费？</x:v>
      </x:c>
      <x:c r="K13" s="20" t="str">
        <x:v>不能自动推奢华酒店和高价产品</x:v>
      </x:c>
    </x:row>
    <x:row r="14" ht="58" customHeight="1">
      <x:c r="A14" s="20" t="str">
        <x:v>SG09</x:v>
      </x:c>
      <x:c r="B14" s="20" t="str">
        <x:v>“想见当地人”“想要真实生活”</x:v>
      </x:c>
      <x:c r="C14" s="20" t="str">
        <x:v>潜在目标</x:v>
      </x:c>
      <x:c r="D14" s="20" t="str">
        <x:v>社会接触和在地生活</x:v>
      </x:c>
      <x:c r="E14" s="20" t="str">
        <x:v>体验目标</x:v>
      </x:c>
      <x:c r="F14" s="26" t="n">
        <x:v>0.8</x:v>
      </x:c>
      <x:c r="G14" s="20" t="str">
        <x:v>提高饮食、茶馆和社区模块</x:v>
      </x:c>
      <x:c r="H14" s="20" t="str">
        <x:v>是</x:v>
      </x:c>
      <x:c r="I14" s="20" t="str">
        <x:v>是</x:v>
      </x:c>
      <x:c r="J14" s="20" t="str">
        <x:v>更喜欢自然观察还是有主持人的交流？</x:v>
      </x:c>
      <x:c r="K14" s="20" t="str">
        <x:v>不能承诺随机居民互动或进入私人空间</x:v>
      </x:c>
    </x:row>
    <x:row r="15" ht="58" customHeight="1">
      <x:c r="A15" s="20" t="str">
        <x:v>SG10</x:v>
      </x:c>
      <x:c r="B15" s="20" t="str">
        <x:v>“孩子喜欢地铁/交通工具”</x:v>
      </x:c>
      <x:c r="C15" s="20" t="str">
        <x:v>显性兴趣</x:v>
      </x:c>
      <x:c r="D15" s="20" t="str">
        <x:v>交通奇观＋亲子学习</x:v>
      </x:c>
      <x:c r="E15" s="20" t="str">
        <x:v>客户直接陈述</x:v>
      </x:c>
      <x:c r="F15" s="26" t="n">
        <x:v>0.95</x:v>
      </x:c>
      <x:c r="G15" s="20" t="str">
        <x:v>提高单轨乘坐和交通解释</x:v>
      </x:c>
      <x:c r="H15" s="20" t="str">
        <x:v>是</x:v>
      </x:c>
      <x:c r="I15" s="20" t="str">
        <x:v>是</x:v>
      </x:c>
      <x:c r="J15" s="20" t="str">
        <x:v>孩子年龄和可接受的乘车时长是多少？</x:v>
      </x:c>
      <x:c r="K15" s="20" t="str">
        <x:v>不能只给拍照点而忽略乘坐过程</x:v>
      </x:c>
    </x:row>
    <x:row r="16" ht="58" customHeight="1">
      <x:c r="A16" s="20" t="str">
        <x:v>SG11</x:v>
      </x:c>
      <x:c r="B16" s="20" t="str">
        <x:v>“我不喜欢历史”</x:v>
      </x:c>
      <x:c r="C16" s="20" t="str">
        <x:v>显性排斥</x:v>
      </x:c>
      <x:c r="D16" s="20" t="str">
        <x:v>需要短解释和体验切入</x:v>
      </x:c>
      <x:c r="E16" s="20" t="str">
        <x:v>客户直接陈述</x:v>
      </x:c>
      <x:c r="F16" s="26" t="n">
        <x:v>0.95</x:v>
      </x:c>
      <x:c r="G16" s="20" t="str">
        <x:v>减少场馆和年代堆叠，保留解释眼前现象的最低历史</x:v>
      </x:c>
      <x:c r="H16" s="20" t="str">
        <x:v>是</x:v>
      </x:c>
      <x:c r="I16" s="20" t="str">
        <x:v>否</x:v>
      </x:c>
      <x:c r="J16" s="20" t="str">
        <x:v>更愿意从建筑、食物还是人的故事进入？</x:v>
      </x:c>
      <x:c r="K16" s="20" t="str">
        <x:v>不能把所有背景解释清零</x:v>
      </x:c>
    </x:row>
    <x:row r="17" ht="58" customHeight="1">
      <x:c r="A17" s="20" t="str">
        <x:v>SG12</x:v>
      </x:c>
      <x:c r="B17" s="20" t="str">
        <x:v>“不想排队”</x:v>
      </x:c>
      <x:c r="C17" s="20" t="str">
        <x:v>硬偏好</x:v>
      </x:c>
      <x:c r="D17" s="20" t="str">
        <x:v>低摩擦和时间确定性</x:v>
      </x:c>
      <x:c r="E17" s="20" t="str">
        <x:v>客户直接陈述</x:v>
      </x:c>
      <x:c r="F17" s="26" t="n">
        <x:v>0.95</x:v>
      </x:c>
      <x:c r="G17" s="20" t="str">
        <x:v>降低索道、热门内部空间和高峰项目</x:v>
      </x:c>
      <x:c r="H17" s="20" t="str">
        <x:v>是</x:v>
      </x:c>
      <x:c r="I17" s="20" t="str">
        <x:v>是</x:v>
      </x:c>
      <x:c r="J17" s="20" t="str">
        <x:v>最多可接受多久排队？</x:v>
      </x:c>
      <x:c r="K17" s="20" t="str">
        <x:v>不能承诺绝对零排队</x:v>
      </x:c>
    </x:row>
    <x:row r="18" ht="58" customHeight="1">
      <x:c r="A18" s="20" t="str">
        <x:v>SG13</x:v>
      </x:c>
      <x:c r="B18" s="20" t="str">
        <x:v>“怕辣”“吃素”“有过敏”</x:v>
      </x:c>
      <x:c r="C18" s="20" t="str">
        <x:v>硬约束</x:v>
      </x:c>
      <x:c r="D18" s="20" t="str">
        <x:v>饮食安全和可替代方案</x:v>
      </x:c>
      <x:c r="E18" s="20" t="str">
        <x:v>客户直接陈述</x:v>
      </x:c>
      <x:c r="F18" s="26" t="n">
        <x:v>1</x:v>
      </x:c>
      <x:c r="G18" s="20" t="str">
        <x:v>食物模块必须进入确认状态，未核验不得收费</x:v>
      </x:c>
      <x:c r="H18" s="20" t="str">
        <x:v>否</x:v>
      </x:c>
      <x:c r="I18" s="20" t="str">
        <x:v>是</x:v>
      </x:c>
      <x:c r="J18" s="20" t="str">
        <x:v>请告诉我具体过敏原、忌口和可接受辣度。</x:v>
      </x:c>
      <x:c r="K18" s="20" t="str">
        <x:v>不能用‘少辣’替代过敏管理</x:v>
      </x:c>
    </x:row>
    <x:row r="19" ht="58" customHeight="1">
      <x:c r="A19" s="20" t="str">
        <x:v>SG14</x:v>
      </x:c>
      <x:c r="B19" s="20" t="str">
        <x:v>“酒店订在解放碑”</x:v>
      </x:c>
      <x:c r="C19" s="20" t="str">
        <x:v>显性事实</x:v>
      </x:c>
      <x:c r="D19" s="20" t="str">
        <x:v>地理锚点和转场成本</x:v>
      </x:c>
      <x:c r="E19" s="20" t="str">
        <x:v>客户直接陈述</x:v>
      </x:c>
      <x:c r="F19" s="26" t="n">
        <x:v>1</x:v>
      </x:c>
      <x:c r="G19" s="20" t="str">
        <x:v>优先半岛内连贯模块，减少不必要跨区</x:v>
      </x:c>
      <x:c r="H19" s="20" t="str">
        <x:v>是</x:v>
      </x:c>
      <x:c r="I19" s="20" t="str">
        <x:v>否</x:v>
      </x:c>
      <x:c r="J19" s="20" t="str">
        <x:v>入住和退房时间确定了吗？</x:v>
      </x:c>
      <x:c r="K19" s="20" t="str">
        <x:v>不能假设每天都必须返回酒店午休</x:v>
      </x:c>
    </x:row>
    <x:row r="20" ht="58" customHeight="1">
      <x:c r="A20" s="20" t="str">
        <x:v>SG15</x:v>
      </x:c>
      <x:c r="B20" s="20" t="str">
        <x:v>“洪崖洞和李子坝都去过”</x:v>
      </x:c>
      <x:c r="C20" s="20" t="str">
        <x:v>显性事实</x:v>
      </x:c>
      <x:c r="D20" s="20" t="str">
        <x:v>复游和新鲜感需求</x:v>
      </x:c>
      <x:c r="E20" s="20" t="str">
        <x:v>客户直接陈述</x:v>
      </x:c>
      <x:c r="F20" s="26" t="n">
        <x:v>1</x:v>
      </x:c>
      <x:c r="G20" s="20" t="str">
        <x:v>降低重复经典模块，提高开埠、艺术、工业和社区</x:v>
      </x:c>
      <x:c r="H20" s="20" t="str">
        <x:v>是</x:v>
      </x:c>
      <x:c r="I20" s="20" t="str">
        <x:v>否</x:v>
      </x:c>
      <x:c r="J20" s="20" t="str">
        <x:v>这次更想深入历史、生活还是创作？</x:v>
      </x:c>
      <x:c r="K20" s="20" t="str">
        <x:v>不能删除所有代表性城市结构解释</x:v>
      </x:c>
    </x:row>
    <x:row r="21" ht="58" customHeight="1">
      <x:c r="A21" s="20" t="str">
        <x:v>SG16</x:v>
      </x:c>
      <x:c r="B21" s="20" t="str">
        <x:v>“只想看最有代表性的”</x:v>
      </x:c>
      <x:c r="C21" s="20" t="str">
        <x:v>潜在目标</x:v>
      </x:c>
      <x:c r="D21" s="20" t="str">
        <x:v>害怕错过和经典确认</x:v>
      </x:c>
      <x:c r="E21" s="20" t="str">
        <x:v>目标措辞</x:v>
      </x:c>
      <x:c r="F21" s="26" t="n">
        <x:v>0.85</x:v>
      </x:c>
      <x:c r="G21" s="20" t="str">
        <x:v>提高首访骨架，但控制为一个钩子＋一个解释</x:v>
      </x:c>
      <x:c r="H21" s="20" t="str">
        <x:v>是</x:v>
      </x:c>
      <x:c r="I21" s="20" t="str">
        <x:v>否</x:v>
      </x:c>
      <x:c r="J21" s="20" t="str">
        <x:v>您更希望照片有代表性，还是故事有代表性？</x:v>
      </x:c>
      <x:c r="K21" s="20" t="str">
        <x:v>不能塞满所有榜单景点</x:v>
      </x:c>
    </x:row>
    <x:row r="22" ht="58" customHeight="1">
      <x:c r="A22" s="20" t="str">
        <x:v>SG17</x:v>
      </x:c>
      <x:c r="B22" s="20" t="str">
        <x:v>“重庆安全吗？”</x:v>
      </x:c>
      <x:c r="C22" s="20" t="str">
        <x:v>潜在状态</x:v>
      </x:c>
      <x:c r="D22" s="20" t="str">
        <x:v>不确定性、语言或出行焦虑</x:v>
      </x:c>
      <x:c r="E22" s="20" t="str">
        <x:v>风险提问</x:v>
      </x:c>
      <x:c r="F22" s="26" t="n">
        <x:v>0.75</x:v>
      </x:c>
      <x:c r="G22" s="20" t="str">
        <x:v>增加交通、夜间结束和支付说明</x:v>
      </x:c>
      <x:c r="H22" s="20" t="str">
        <x:v>否</x:v>
      </x:c>
      <x:c r="I22" s="20" t="str">
        <x:v>是</x:v>
      </x:c>
      <x:c r="J22" s="20" t="str">
        <x:v>最担心交通、夜间出行、饮食还是沟通？</x:v>
      </x:c>
      <x:c r="K22" s="20" t="str">
        <x:v>不能用泛泛‘非常安全’替代具体安排</x:v>
      </x:c>
    </x:row>
    <x:row r="23" ht="58" customHeight="1">
      <x:c r="A23" s="20" t="str">
        <x:v>SG18</x:v>
      </x:c>
      <x:c r="B23" s="20" t="str">
        <x:v>“想去小众的地方”</x:v>
      </x:c>
      <x:c r="C23" s="20" t="str">
        <x:v>潜在目标</x:v>
      </x:c>
      <x:c r="D23" s="20" t="str">
        <x:v>新鲜感和避开人群</x:v>
      </x:c>
      <x:c r="E23" s="20" t="str">
        <x:v>目标措辞</x:v>
      </x:c>
      <x:c r="F23" s="26" t="n">
        <x:v>0.8</x:v>
      </x:c>
      <x:c r="G23" s="20" t="str">
        <x:v>提高复游新鲜感和在地生活模块</x:v>
      </x:c>
      <x:c r="H23" s="20" t="str">
        <x:v>是</x:v>
      </x:c>
      <x:c r="I23" s="20" t="str">
        <x:v>是</x:v>
      </x:c>
      <x:c r="J23" s="20" t="str">
        <x:v>您要的是少人、少商业，还是更有本地故事？</x:v>
      </x:c>
      <x:c r="K23" s="20" t="str">
        <x:v>不能把私域、未开放或高风险地点包装成小众</x:v>
      </x:c>
    </x:row>
    <x:row r="24" ht="58" customHeight="1">
      <x:c r="A24" s="20" t="str">
        <x:v>SG19</x:v>
      </x:c>
      <x:c r="B24" s="20" t="str">
        <x:v>“我以前在中国生活/工作过”</x:v>
      </x:c>
      <x:c r="C24" s="20" t="str">
        <x:v>经验线索</x:v>
      </x:c>
      <x:c r="D24" s="20" t="str">
        <x:v>可能已有中国旅行熟悉度</x:v>
      </x:c>
      <x:c r="E24" s="20" t="str">
        <x:v>自我经历</x:v>
      </x:c>
      <x:c r="F24" s="26" t="n">
        <x:v>0.7</x:v>
      </x:c>
      <x:c r="G24" s="20" t="str">
        <x:v>先检查已知内容，再减少基础操作说明</x:v>
      </x:c>
      <x:c r="H24" s="20" t="str">
        <x:v>是</x:v>
      </x:c>
      <x:c r="I24" s="20" t="str">
        <x:v>是</x:v>
      </x:c>
      <x:c r="J24" s="20" t="str">
        <x:v>去过哪些城市？中文和本地应用使用到什么程度？</x:v>
      </x:c>
      <x:c r="K24" s="20" t="str">
        <x:v>不能假设其理解重庆或能使用全部中文服务</x:v>
      </x:c>
    </x:row>
    <x:row r="25" ht="58" customHeight="1">
      <x:c r="A25" s="20" t="str">
        <x:v>SG20</x:v>
      </x:c>
      <x:c r="B25" s="20" t="str">
        <x:v>“我不会中文”</x:v>
      </x:c>
      <x:c r="C25" s="20" t="str">
        <x:v>硬约束</x:v>
      </x:c>
      <x:c r="D25" s="20" t="str">
        <x:v>英语服务、导航和支付摩擦</x:v>
      </x:c>
      <x:c r="E25" s="20" t="str">
        <x:v>客户直接陈述</x:v>
      </x:c>
      <x:c r="F25" s="26" t="n">
        <x:v>1</x:v>
      </x:c>
      <x:c r="G25" s="20" t="str">
        <x:v>提高可独立执行度；供应商必须核验英语</x:v>
      </x:c>
      <x:c r="H25" s="20" t="str">
        <x:v>是</x:v>
      </x:c>
      <x:c r="I25" s="20" t="str">
        <x:v>否</x:v>
      </x:c>
      <x:c r="J25" s="20" t="str">
        <x:v>是否能使用翻译应用和中国支付工具？</x:v>
      </x:c>
      <x:c r="K25" s="20" t="str">
        <x:v>不能承诺未经核验的英文服务</x:v>
      </x:c>
    </x:row>
    <x:row r="26" ht="58" customHeight="1">
      <x:c r="A26" s="20" t="str">
        <x:v>SG21</x:v>
      </x:c>
      <x:c r="B26" s="20" t="str">
        <x:v>“当天下午才到/早班离开”</x:v>
      </x:c>
      <x:c r="C26" s="20" t="str">
        <x:v>显性事实</x:v>
      </x:c>
      <x:c r="D26" s="20" t="str">
        <x:v>可用时段和疲劳管理</x:v>
      </x:c>
      <x:c r="E26" s="20" t="str">
        <x:v>客户直接陈述</x:v>
      </x:c>
      <x:c r="F26" s="26" t="n">
        <x:v>1</x:v>
      </x:c>
      <x:c r="G26" s="20" t="str">
        <x:v>压缩当天信息预算，降低跨区和高体力模块</x:v>
      </x:c>
      <x:c r="H26" s="20" t="str">
        <x:v>是</x:v>
      </x:c>
      <x:c r="I26" s="20" t="str">
        <x:v>否</x:v>
      </x:c>
      <x:c r="J26" s="20" t="str">
        <x:v>预计到酒店和可出发的时间是几点？</x:v>
      </x:c>
      <x:c r="K26" s="20" t="str">
        <x:v>不能只按住宿夜数计算完整天数</x:v>
      </x:c>
    </x:row>
    <x:row r="27" ht="58" customHeight="1">
      <x:c r="A27" s="20" t="str">
        <x:v>SG22</x:v>
      </x:c>
      <x:c r="B27" s="20" t="str">
        <x:v>“凌晨航班/刚长途飞行到”</x:v>
      </x:c>
      <x:c r="C27" s="20" t="str">
        <x:v>显性事实</x:v>
      </x:c>
      <x:c r="D27" s="20" t="str">
        <x:v>睡眠、恢复和接送确定性</x:v>
      </x:c>
      <x:c r="E27" s="20" t="str">
        <x:v>客户直接陈述</x:v>
      </x:c>
      <x:c r="F27" s="26" t="n">
        <x:v>1</x:v>
      </x:c>
      <x:c r="G27" s="20" t="str">
        <x:v>首日降体力、缩短夜间安排</x:v>
      </x:c>
      <x:c r="H27" s="20" t="str">
        <x:v>是</x:v>
      </x:c>
      <x:c r="I27" s="20" t="str">
        <x:v>是</x:v>
      </x:c>
      <x:c r="J27" s="20" t="str">
        <x:v>第一天是否接受只做一个轻量模块？</x:v>
      </x:c>
      <x:c r="K27" s="20" t="str">
        <x:v>不能为了填满行程忽略时差与恢复</x:v>
      </x:c>
    </x:row>
    <x:row r="28" ht="58" customHeight="1">
      <x:c r="A28" s="20" t="str">
        <x:v>SG23</x:v>
      </x:c>
      <x:c r="B28" s="20" t="str">
        <x:v>“生日/周年/求婚”</x:v>
      </x:c>
      <x:c r="C28" s="20" t="str">
        <x:v>潜在目标</x:v>
      </x:c>
      <x:c r="D28" s="20" t="str">
        <x:v>情绪峰值、私密和可靠履约</x:v>
      </x:c>
      <x:c r="E28" s="20" t="str">
        <x:v>旅行事件</x:v>
      </x:c>
      <x:c r="F28" s="26" t="n">
        <x:v>0.9</x:v>
      </x:c>
      <x:c r="G28" s="20" t="str">
        <x:v>选择可控、可备选和可拍摄的时段；触发人工服务</x:v>
      </x:c>
      <x:c r="H28" s="20" t="str">
        <x:v>否</x:v>
      </x:c>
      <x:c r="I28" s="20" t="str">
        <x:v>是</x:v>
      </x:c>
      <x:c r="J28" s="20" t="str">
        <x:v>需要私密、摄影、布置还是餐饮配合？</x:v>
      </x:c>
      <x:c r="K28" s="20" t="str">
        <x:v>不能在未确认许可与备选方案前承诺特殊安排</x:v>
      </x:c>
    </x:row>
    <x:row r="29" ht="58" customHeight="1">
      <x:c r="A29" s="20" t="str">
        <x:v>SG24</x:v>
      </x:c>
      <x:c r="B29" s="20" t="str">
        <x:v>“我要拍YouTube/TikTok/商业内容”</x:v>
      </x:c>
      <x:c r="C29" s="20" t="str">
        <x:v>硬用途</x:v>
      </x:c>
      <x:c r="D29" s="20" t="str">
        <x:v>创作者工作流和拍摄许可</x:v>
      </x:c>
      <x:c r="E29" s="20" t="str">
        <x:v>用途陈述</x:v>
      </x:c>
      <x:c r="F29" s="26" t="n">
        <x:v>1</x:v>
      </x:c>
      <x:c r="G29" s="20" t="str">
        <x:v>提高摄影创作模块并检查版权、器材和许可</x:v>
      </x:c>
      <x:c r="H29" s="20" t="str">
        <x:v>是</x:v>
      </x:c>
      <x:c r="I29" s="20" t="str">
        <x:v>是</x:v>
      </x:c>
      <x:c r="J29" s="20" t="str">
        <x:v>设备、团队人数、商业用途和发布时间是什么？</x:v>
      </x:c>
      <x:c r="K29" s="20" t="str">
        <x:v>不能把普通游客拍摄规则用于商业拍摄</x:v>
      </x:c>
    </x:row>
    <x:row r="30" ht="58" customHeight="1">
      <x:c r="A30" s="20" t="str">
        <x:v>SG25</x:v>
      </x:c>
      <x:c r="B30" s="20" t="str">
        <x:v>“不喜欢被推销/怕被坑”</x:v>
      </x:c>
      <x:c r="C30" s="20" t="str">
        <x:v>潜在状态</x:v>
      </x:c>
      <x:c r="D30" s="20" t="str">
        <x:v>信任、透明价格和低销售压力</x:v>
      </x:c>
      <x:c r="E30" s="20" t="str">
        <x:v>风险表达</x:v>
      </x:c>
      <x:c r="F30" s="26" t="n">
        <x:v>0.85</x:v>
      </x:c>
      <x:c r="G30" s="20" t="str">
        <x:v>明确价格边界、无购物佣金和取消规则</x:v>
      </x:c>
      <x:c r="H30" s="20" t="str">
        <x:v>否</x:v>
      </x:c>
      <x:c r="I30" s="20" t="str">
        <x:v>否</x:v>
      </x:c>
      <x:c r="J30" s="20" t="str">
        <x:v>可主动说明服务如何收费和不包含什么。</x:v>
      </x:c>
      <x:c r="K30" s="20" t="str">
        <x:v>不能用情绪安抚替代透明规则</x:v>
      </x:c>
    </x:row>
    <x:row r="31" ht="58" customHeight="1">
      <x:c r="A31" s="20" t="str">
        <x:v>SG26</x:v>
      </x:c>
      <x:c r="B31" s="20" t="str">
        <x:v>“想慢慢走、坐下来观察”</x:v>
      </x:c>
      <x:c r="C31" s="20" t="str">
        <x:v>显性偏好</x:v>
      </x:c>
      <x:c r="D31" s="20" t="str">
        <x:v>慢旅行、低密度和观察任务</x:v>
      </x:c>
      <x:c r="E31" s="20" t="str">
        <x:v>客户直接陈述</x:v>
      </x:c>
      <x:c r="F31" s="26" t="n">
        <x:v>0.95</x:v>
      </x:c>
      <x:c r="G31" s="20" t="str">
        <x:v>减少模块数，提高茶馆、社区和高点复盘</x:v>
      </x:c>
      <x:c r="H31" s="20" t="str">
        <x:v>是</x:v>
      </x:c>
      <x:c r="I31" s="20" t="str">
        <x:v>否</x:v>
      </x:c>
      <x:c r="J31" s="20" t="str">
        <x:v>更想观察生活、建筑还是食物？</x:v>
      </x:c>
      <x:c r="K31" s="20" t="str">
        <x:v>不能把慢旅行等同于低体力</x:v>
      </x:c>
    </x:row>
    <x:row r="32" ht="58" customHeight="1">
      <x:c r="A32" s="20" t="str">
        <x:v>SG27</x:v>
      </x:c>
      <x:c r="B32" s="20" t="str">
        <x:v>“只有两天但都想看”</x:v>
      </x:c>
      <x:c r="C32" s="20" t="str">
        <x:v>意图冲突</x:v>
      </x:c>
      <x:c r="D32" s="20" t="str">
        <x:v>害怕错过与时间不足</x:v>
      </x:c>
      <x:c r="E32" s="20" t="str">
        <x:v>显性事实＋矛盾</x:v>
      </x:c>
      <x:c r="F32" s="26" t="n">
        <x:v>0.9</x:v>
      </x:c>
      <x:c r="G32" s="20" t="str">
        <x:v>先说明取舍，提出两种主叙事，不暗中超载</x:v>
      </x:c>
      <x:c r="H32" s="20" t="str">
        <x:v>否</x:v>
      </x:c>
      <x:c r="I32" s="20" t="str">
        <x:v>是</x:v>
      </x:c>
      <x:c r="J32" s="20" t="str">
        <x:v>经典城市感和历史深度，哪一个优先？</x:v>
      </x:c>
      <x:c r="K32" s="20" t="str">
        <x:v>不能通过压缩停留和增加转场假装都能完成</x:v>
      </x:c>
    </x:row>
    <x:row r="33" ht="58" customHeight="1">
      <x:c r="A33" s="20" t="str">
        <x:v>SG28</x:v>
      </x:c>
      <x:c r="B33" s="20" t="str">
        <x:v>“我们不确定去哪座城市”</x:v>
      </x:c>
      <x:c r="C33" s="20" t="str">
        <x:v>旅程阶段</x:v>
      </x:c>
      <x:c r="D33" s="20" t="str">
        <x:v>灵感与比较，不是路线规划</x:v>
      </x:c>
      <x:c r="E33" s="20" t="str">
        <x:v>决策阶段</x:v>
      </x:c>
      <x:c r="F33" s="26" t="n">
        <x:v>1</x:v>
      </x:c>
      <x:c r="G33" s="20" t="str">
        <x:v>先比较城市承诺，不直接输出逐日路书</x:v>
      </x:c>
      <x:c r="H33" s="20" t="str">
        <x:v>否</x:v>
      </x:c>
      <x:c r="I33" s="20" t="str">
        <x:v>是</x:v>
      </x:c>
      <x:c r="J33" s="20" t="str">
        <x:v>这次最想理解中国的哪一面？</x:v>
      </x:c>
      <x:c r="K33" s="20" t="str">
        <x:v>不能把城市列表当成个性化建议</x:v>
      </x:c>
    </x:row>
    <x:row r="34" ht="58" customHeight="1">
      <x:c r="A34" s="20" t="str">
        <x:v>SG29</x:v>
      </x:c>
      <x:c r="B34" s="20" t="str">
        <x:v>连续询问价格、取消、付款</x:v>
      </x:c>
      <x:c r="C34" s="20" t="str">
        <x:v>交易信号</x:v>
      </x:c>
      <x:c r="D34" s="20" t="str">
        <x:v>接近购买，需要确定性</x:v>
      </x:c>
      <x:c r="E34" s="20" t="str">
        <x:v>行为序列</x:v>
      </x:c>
      <x:c r="F34" s="26" t="n">
        <x:v>0.85</x:v>
      </x:c>
      <x:c r="G34" s="20" t="str">
        <x:v>切换到产品范围、人工校验和支付说明</x:v>
      </x:c>
      <x:c r="H34" s="20" t="str">
        <x:v>否</x:v>
      </x:c>
      <x:c r="I34" s="20" t="str">
        <x:v>否</x:v>
      </x:c>
      <x:c r="J34" s="20" t="str">
        <x:v>给出清晰下一步而不是继续泛聊灵感。</x:v>
      </x:c>
      <x:c r="K34" s="20" t="str">
        <x:v>不能继续用内容轰炸推迟成交</x:v>
      </x:c>
    </x:row>
    <x:row r="35" ht="58" customHeight="1">
      <x:c r="A35" s="21" t="str">
        <x:v>SG30</x:v>
      </x:c>
      <x:c r="B35" s="21" t="str">
        <x:v>多次修改日期/同伴/偏好</x:v>
      </x:c>
      <x:c r="C35" s="21" t="str">
        <x:v>状态变化</x:v>
      </x:c>
      <x:c r="D35" s="21" t="str">
        <x:v>需求仍在形成或多人决策</x:v>
      </x:c>
      <x:c r="E35" s="21" t="str">
        <x:v>对话行为</x:v>
      </x:c>
      <x:c r="F35" s="27" t="n">
        <x:v>0.8</x:v>
      </x:c>
      <x:c r="G35" s="21" t="str">
        <x:v>保留版本、标记冲突并重新确认关键字段</x:v>
      </x:c>
      <x:c r="H35" s="21" t="str">
        <x:v>否</x:v>
      </x:c>
      <x:c r="I35" s="21" t="str">
        <x:v>是</x:v>
      </x:c>
      <x:c r="J35" s="21" t="str">
        <x:v>我按最新的同行人和日期重排，可以吗？</x:v>
      </x:c>
      <x:c r="K35" s="21" t="str">
        <x:v>不能把旧信息和新信息混用</x:v>
      </x:c>
    </x:row>
  </x:sheetData>
  <x:mergeCells>
    <x:mergeCell ref="A1:K1"/>
    <x:mergeCell ref="A2:K2"/>
  </x:mergeCells>
  <x:conditionalFormatting sqref="F6:F35">
    <x:cfRule type="colorScale" priority="1">
      <x:colorScale>
        <x:cfvo type="min"/>
        <x:cfvo type="percentile" val="50"/>
        <x:cfvo type="max"/>
        <x:color rgb="FFFBE5E5"/>
        <x:color rgb="FFFFF1D6"/>
        <x:color rgb="FFE3F1E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97ebb7127f846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5" hidden="0" customWidth="1"/>
    <x:col min="4" max="4" width="35" hidden="0" customWidth="1"/>
    <x:col min="5" max="5" width="43" hidden="0" customWidth="1"/>
    <x:col min="6" max="6" width="16" hidden="0" customWidth="1"/>
    <x:col min="7" max="7" width="29" hidden="0" customWidth="1"/>
    <x:col min="8" max="8" width="24" hidden="0" customWidth="1"/>
  </x:cols>
  <x:sheetData>
    <x:row r="1" ht="32" customHeight="1">
      <x:c r="A1" s="3" t="str">
        <x:v>追问规则｜每轮只问最值钱的1—2个问题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追问不是把表单扔给客户，而是优先消除会改变路线、安全或收费承诺的不确定性。已经回答过的问题不得重复。</x:v>
      </x:c>
      <x:c r="B2" s="7"/>
      <x:c r="C2" s="7"/>
      <x:c r="D2" s="7"/>
      <x:c r="E2" s="7"/>
      <x:c r="F2" s="7"/>
      <x:c r="G2" s="7"/>
      <x:c r="H2" s="7"/>
    </x:row>
    <x:row r="5" ht="34" customHeight="1">
      <x:c r="A5" s="11" t="str">
        <x:v>优先级</x:v>
      </x:c>
      <x:c r="B5" s="11" t="str">
        <x:v>追问主题</x:v>
      </x:c>
      <x:c r="C5" s="11" t="str">
        <x:v>触发条件</x:v>
      </x:c>
      <x:c r="D5" s="11" t="str">
        <x:v>为什么必须问</x:v>
      </x:c>
      <x:c r="E5" s="11" t="str">
        <x:v>自然语言问题</x:v>
      </x:c>
      <x:c r="F5" s="11" t="str">
        <x:v>阻断级别</x:v>
      </x:c>
      <x:c r="G5" s="11" t="str">
        <x:v>何时不问</x:v>
      </x:c>
      <x:c r="H5" s="11" t="str">
        <x:v>影响的决策</x:v>
      </x:c>
    </x:row>
    <x:row r="6" ht="58" customHeight="1">
      <x:c r="A6" s="22" t="n">
        <x:v>1</x:v>
      </x:c>
      <x:c r="B6" s="19" t="str">
        <x:v>安全/行动能力</x:v>
      </x:c>
      <x:c r="C6" s="19" t="str">
        <x:v>体力只来自年龄、同行关系或模糊表达</x:v>
      </x:c>
      <x:c r="D6" s="19" t="str">
        <x:v>会改变长台阶、夜间和跨区安排</x:v>
      </x:c>
      <x:c r="E6" s="19" t="str">
        <x:v>每天大约能连续走多久？连续台阶或膝关节有没有限制？</x:v>
      </x:c>
      <x:c r="F6" s="19" t="str">
        <x:v>阻断高体力模块</x:v>
      </x:c>
      <x:c r="G6" s="19" t="str">
        <x:v>客户已经明确给出可量化能力</x:v>
      </x:c>
      <x:c r="H6" s="19" t="str">
        <x:v>体力与步道过滤</x:v>
      </x:c>
    </x:row>
    <x:row r="7" ht="58" customHeight="1">
      <x:c r="A7" s="23" t="n">
        <x:v>2</x:v>
      </x:c>
      <x:c r="B7" s="20" t="str">
        <x:v>过敏/医疗</x:v>
      </x:c>
      <x:c r="C7" s="20" t="str">
        <x:v>客户提到过敏、疾病、孕期或药物</x:v>
      </x:c>
      <x:c r="D7" s="20" t="str">
        <x:v>涉及安全和供应商责任</x:v>
      </x:c>
      <x:c r="E7" s="20" t="str">
        <x:v>有哪些必须避开的食材、活动或环境？严重程度和应急要求是什么？</x:v>
      </x:c>
      <x:c r="F7" s="20" t="str">
        <x:v>阻断相关收费体验</x:v>
      </x:c>
      <x:c r="G7" s="20" t="str">
        <x:v>从未讨论饮食或相关活动</x:v>
      </x:c>
      <x:c r="H7" s="20" t="str">
        <x:v>饮食与活动安全</x:v>
      </x:c>
    </x:row>
    <x:row r="8" ht="58" customHeight="1">
      <x:c r="A8" s="23" t="n">
        <x:v>3</x:v>
      </x:c>
      <x:c r="B8" s="20" t="str">
        <x:v>抵离时间</x:v>
      </x:c>
      <x:c r="C8" s="20" t="str">
        <x:v>只知道住几晚，不知道可用时段</x:v>
      </x:c>
      <x:c r="D8" s="20" t="str">
        <x:v>决定每天是否为完整日</x:v>
      </x:c>
      <x:c r="E8" s="20" t="str">
        <x:v>您哪天几点能从酒店出发，最后一天几点必须离开？</x:v>
      </x:c>
      <x:c r="F8" s="20" t="str">
        <x:v>阻断逐日承诺</x:v>
      </x:c>
      <x:c r="G8" s="20" t="str">
        <x:v>客户已提供酒店出发时间</x:v>
      </x:c>
      <x:c r="H8" s="20" t="str">
        <x:v>有效旅行时长</x:v>
      </x:c>
    </x:row>
    <x:row r="9" ht="58" customHeight="1">
      <x:c r="A9" s="23" t="n">
        <x:v>4</x:v>
      </x:c>
      <x:c r="B9" s="20" t="str">
        <x:v>同行构成</x:v>
      </x:c>
      <x:c r="C9" s="20" t="str">
        <x:v>只说“我们”或多人同行</x:v>
      </x:c>
      <x:c r="D9" s="20" t="str">
        <x:v>可能存在儿童、长辈和偏好冲突</x:v>
      </x:c>
      <x:c r="E9" s="20" t="str">
        <x:v>同行几位？是否有儿童或长辈，以及必须照顾的节奏？</x:v>
      </x:c>
      <x:c r="F9" s="20" t="str">
        <x:v>重要</x:v>
      </x:c>
      <x:c r="G9" s="20" t="str">
        <x:v>独行且已明确</x:v>
      </x:c>
      <x:c r="H9" s="20" t="str">
        <x:v>节奏和车辆需求</x:v>
      </x:c>
    </x:row>
    <x:row r="10" ht="58" customHeight="1">
      <x:c r="A10" s="23" t="n">
        <x:v>5</x:v>
      </x:c>
      <x:c r="B10" s="20" t="str">
        <x:v>不可妥协项</x:v>
      </x:c>
      <x:c r="C10" s="20" t="str">
        <x:v>偏好很多但没有优先级</x:v>
      </x:c>
      <x:c r="D10" s="20" t="str">
        <x:v>短行程必须做取舍</x:v>
      </x:c>
      <x:c r="E10" s="20" t="str">
        <x:v>如果只能保证一件事，您最不想错过什么？</x:v>
      </x:c>
      <x:c r="F10" s="20" t="str">
        <x:v>重要</x:v>
      </x:c>
      <x:c r="G10" s="20" t="str">
        <x:v>只有一个明确目标</x:v>
      </x:c>
      <x:c r="H10" s="20" t="str">
        <x:v>主叙事选择</x:v>
      </x:c>
    </x:row>
    <x:row r="11" ht="58" customHeight="1">
      <x:c r="A11" s="23" t="n">
        <x:v>6</x:v>
      </x:c>
      <x:c r="B11" s="20" t="str">
        <x:v>明确排除</x:v>
      </x:c>
      <x:c r="C11" s="20" t="str">
        <x:v>出现“不想”“不要”但范围模糊</x:v>
      </x:c>
      <x:c r="D11" s="20" t="str">
        <x:v>避免误删或误保留经典模块</x:v>
      </x:c>
      <x:c r="E11" s="20" t="str">
        <x:v>您排斥的是拥挤、商业化，还是景点本身？</x:v>
      </x:c>
      <x:c r="F11" s="20" t="str">
        <x:v>重要</x:v>
      </x:c>
      <x:c r="G11" s="20" t="str">
        <x:v>排除对象非常明确</x:v>
      </x:c>
      <x:c r="H11" s="20" t="str">
        <x:v>删除规则</x:v>
      </x:c>
    </x:row>
    <x:row r="12" ht="58" customHeight="1">
      <x:c r="A12" s="23" t="n">
        <x:v>7</x:v>
      </x:c>
      <x:c r="B12" s="20" t="str">
        <x:v>住宿锚点</x:v>
      </x:c>
      <x:c r="C12" s="20" t="str">
        <x:v>未给酒店区域</x:v>
      </x:c>
      <x:c r="D12" s="20" t="str">
        <x:v>影响跨区成本和早晚安排</x:v>
      </x:c>
      <x:c r="E12" s="20" t="str">
        <x:v>酒店大概在哪个区域？已经预订了吗？</x:v>
      </x:c>
      <x:c r="F12" s="20" t="str">
        <x:v>重要</x:v>
      </x:c>
      <x:c r="G12" s="20" t="str">
        <x:v>仍处灵感阶段</x:v>
      </x:c>
      <x:c r="H12" s="20" t="str">
        <x:v>地理排序</x:v>
      </x:c>
    </x:row>
    <x:row r="13" ht="58" customHeight="1">
      <x:c r="A13" s="23" t="n">
        <x:v>8</x:v>
      </x:c>
      <x:c r="B13" s="20" t="str">
        <x:v>预算方式</x:v>
      </x:c>
      <x:c r="C13" s="20" t="str">
        <x:v>只说贵/便宜/预算不限</x:v>
      </x:c>
      <x:c r="D13" s="20" t="str">
        <x:v>价格语言含义不清</x:v>
      </x:c>
      <x:c r="E13" s="20" t="str">
        <x:v>您更愿意为省时间、专业讲解还是独家体验付费？</x:v>
      </x:c>
      <x:c r="F13" s="20" t="str">
        <x:v>非阻断</x:v>
      </x:c>
      <x:c r="G13" s="20" t="str">
        <x:v>仅生成免费灵感方案</x:v>
      </x:c>
      <x:c r="H13" s="20" t="str">
        <x:v>付费产品匹配</x:v>
      </x:c>
    </x:row>
    <x:row r="14" ht="58" customHeight="1">
      <x:c r="A14" s="23" t="n">
        <x:v>9</x:v>
      </x:c>
      <x:c r="B14" s="20" t="str">
        <x:v>语言与工具</x:v>
      </x:c>
      <x:c r="C14" s="20" t="str">
        <x:v>中文能力、支付和地图工具未知</x:v>
      </x:c>
      <x:c r="D14" s="20" t="str">
        <x:v>影响独立执行度</x:v>
      </x:c>
      <x:c r="E14" s="20" t="str">
        <x:v>中文、翻译应用、中国支付和地图工具的使用情况怎样？</x:v>
      </x:c>
      <x:c r="F14" s="20" t="str">
        <x:v>重要</x:v>
      </x:c>
      <x:c r="G14" s="20" t="str">
        <x:v>有全程人工陪同</x:v>
      </x:c>
      <x:c r="H14" s="20" t="str">
        <x:v>摩擦与人工服务</x:v>
      </x:c>
    </x:row>
    <x:row r="15" ht="58" customHeight="1">
      <x:c r="A15" s="23" t="n">
        <x:v>10</x:v>
      </x:c>
      <x:c r="B15" s="20" t="str">
        <x:v>拍摄用途</x:v>
      </x:c>
      <x:c r="C15" s="20" t="str">
        <x:v>提到视频、无人机、商业摄影</x:v>
      </x:c>
      <x:c r="D15" s="20" t="str">
        <x:v>涉及许可、版权和场地规则</x:v>
      </x:c>
      <x:c r="E15" s="20" t="str">
        <x:v>拍摄是个人分享还是商业用途？设备和团队规模是多少？</x:v>
      </x:c>
      <x:c r="F15" s="20" t="str">
        <x:v>阻断相关拍摄承诺</x:v>
      </x:c>
      <x:c r="G15" s="20" t="str">
        <x:v>仅手机个人留念</x:v>
      </x:c>
      <x:c r="H15" s="20" t="str">
        <x:v>拍摄许可</x:v>
      </x:c>
    </x:row>
    <x:row r="16" ht="58" customHeight="1">
      <x:c r="A16" s="23" t="n">
        <x:v>11</x:v>
      </x:c>
      <x:c r="B16" s="20" t="str">
        <x:v>社交边界</x:v>
      </x:c>
      <x:c r="C16" s="20" t="str">
        <x:v>想见当地人或进社区</x:v>
      </x:c>
      <x:c r="D16" s="20" t="str">
        <x:v>涉及隐私和伦理</x:v>
      </x:c>
      <x:c r="E16" s="20" t="str">
        <x:v>您更喜欢自然观察，还是经过安排和同意的交流？</x:v>
      </x:c>
      <x:c r="F16" s="20" t="str">
        <x:v>阻断私域承诺</x:v>
      </x:c>
      <x:c r="G16" s="20" t="str">
        <x:v>只选择公共活动</x:v>
      </x:c>
      <x:c r="H16" s="20" t="str">
        <x:v>社区与专家体验</x:v>
      </x:c>
    </x:row>
    <x:row r="17" ht="58" customHeight="1">
      <x:c r="A17" s="23" t="n">
        <x:v>12</x:v>
      </x:c>
      <x:c r="B17" s="20" t="str">
        <x:v>舒适与冒险</x:v>
      </x:c>
      <x:c r="C17" s="20" t="str">
        <x:v>既要小众又担心安全/确定性</x:v>
      </x:c>
      <x:c r="D17" s="20" t="str">
        <x:v>目标冲突</x:v>
      </x:c>
      <x:c r="E17" s="20" t="str">
        <x:v>您更愿意牺牲一点便利，还是牺牲一点独特性？</x:v>
      </x:c>
      <x:c r="F17" s="20" t="str">
        <x:v>重要</x:v>
      </x:c>
      <x:c r="G17" s="20" t="str">
        <x:v>目标没有冲突</x:v>
      </x:c>
      <x:c r="H17" s="20" t="str">
        <x:v>路线风险预算</x:v>
      </x:c>
    </x:row>
    <x:row r="18" ht="58" customHeight="1">
      <x:c r="A18" s="23" t="n">
        <x:v>13</x:v>
      </x:c>
      <x:c r="B18" s="20" t="str">
        <x:v>儿童年龄</x:v>
      </x:c>
      <x:c r="C18" s="20" t="str">
        <x:v>亲子但年龄未知</x:v>
      </x:c>
      <x:c r="D18" s="20" t="str">
        <x:v>场馆时长和内容差异很大</x:v>
      </x:c>
      <x:c r="E18" s="20" t="str">
        <x:v>孩子多大？最能持续投入的活动是什么？</x:v>
      </x:c>
      <x:c r="F18" s="20" t="str">
        <x:v>重要</x:v>
      </x:c>
      <x:c r="G18" s="20" t="str">
        <x:v>非亲子</x:v>
      </x:c>
      <x:c r="H18" s="20" t="str">
        <x:v>亲子教育匹配</x:v>
      </x:c>
    </x:row>
    <x:row r="19" ht="58" customHeight="1">
      <x:c r="A19" s="23" t="n">
        <x:v>14</x:v>
      </x:c>
      <x:c r="B19" s="20" t="str">
        <x:v>成交准备度</x:v>
      </x:c>
      <x:c r="C19" s="20" t="str">
        <x:v>持续询价但没有产品边界</x:v>
      </x:c>
      <x:c r="D19" s="20" t="str">
        <x:v>需要切换到商业承接</x:v>
      </x:c>
      <x:c r="E19" s="20" t="str">
        <x:v>需要我先给您可执行路书，还是连同人工核验和预约一起报价？</x:v>
      </x:c>
      <x:c r="F19" s="20" t="str">
        <x:v>非阻断</x:v>
      </x:c>
      <x:c r="G19" s="20" t="str">
        <x:v>仍在城市灵感阶段</x:v>
      </x:c>
      <x:c r="H19" s="20" t="str">
        <x:v>免费/付费分流</x:v>
      </x:c>
    </x:row>
    <x:row r="20" ht="58" customHeight="1">
      <x:c r="A20" s="24" t="n">
        <x:v>15</x:v>
      </x:c>
      <x:c r="B20" s="21" t="str">
        <x:v>版本冲突</x:v>
      </x:c>
      <x:c r="C20" s="21" t="str">
        <x:v>新信息与旧信息冲突</x:v>
      </x:c>
      <x:c r="D20" s="21" t="str">
        <x:v>会造成错误路线</x:v>
      </x:c>
      <x:c r="E20" s="21" t="str">
        <x:v>我按您刚才更新的日期、同行人和体力重排，旧版本作废，可以吗？</x:v>
      </x:c>
      <x:c r="F20" s="21" t="str">
        <x:v>阻断发布</x:v>
      </x:c>
      <x:c r="G20" s="21" t="str">
        <x:v>没有状态变化</x:v>
      </x:c>
      <x:c r="H20" s="21" t="str">
        <x:v>会话状态管理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ea6a9b06ef04f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9" hidden="0" customWidth="1"/>
    <x:col min="3" max="3" width="47" hidden="0" customWidth="1"/>
    <x:col min="4" max="4" width="43" hidden="0" customWidth="1"/>
    <x:col min="5" max="5" width="25" hidden="0" customWidth="1"/>
  </x:cols>
  <x:sheetData>
    <x:row r="1" ht="32" customHeight="1">
      <x:c r="A1" s="3" t="str">
        <x:v>智能体调用协议｜从一句话到可出售路书</x:v>
      </x:c>
      <x:c r="B1" s="3"/>
      <x:c r="C1" s="3"/>
      <x:c r="D1" s="3"/>
      <x:c r="E1" s="3"/>
    </x:row>
    <x:row r="2" ht="30" customHeight="1">
      <x:c r="A2" s="7" t="str">
        <x:v>智能体不是直接从聊天生成答案，而是先建立可审计的旅行者状态，再检索、过滤、去重和装配。数据库提供决策依据，人工校验负责最终履约。</x:v>
      </x:c>
      <x:c r="B2" s="7"/>
      <x:c r="C2" s="7"/>
      <x:c r="D2" s="7"/>
      <x:c r="E2" s="7"/>
    </x:row>
    <x:row r="5" ht="34" customHeight="1">
      <x:c r="A5" s="11" t="str">
        <x:v>步骤</x:v>
      </x:c>
      <x:c r="B5" s="11" t="str">
        <x:v>智能体动作</x:v>
      </x:c>
      <x:c r="C5" s="11" t="str">
        <x:v>结构化字段</x:v>
      </x:c>
      <x:c r="D5" s="11" t="str">
        <x:v>硬规则</x:v>
      </x:c>
      <x:c r="E5" s="11" t="str">
        <x:v>阶段输出</x:v>
      </x:c>
    </x:row>
    <x:row r="6" ht="62" customHeight="1">
      <x:c r="A6" s="19" t="str">
        <x:v>01 倾听</x:v>
      </x:c>
      <x:c r="B6" s="19" t="str">
        <x:v>保存客户原话</x:v>
      </x:c>
      <x:c r="C6" s="19" t="str">
        <x:v>conversation_text、消息时间、语言、会话阶段</x:v>
      </x:c>
      <x:c r="D6" s="19" t="str">
        <x:v>不改写原话；新信息保留版本</x:v>
      </x:c>
      <x:c r="E6" s="19" t="str">
        <x:v>原始会话记录</x:v>
      </x:c>
    </x:row>
    <x:row r="7" ht="62" customHeight="1">
      <x:c r="A7" s="20" t="str">
        <x:v>02 提取显性事实</x:v>
      </x:c>
      <x:c r="B7" s="20" t="str">
        <x:v>只提客户明确说出的日期、人数、地点、预算、限制</x:v>
      </x:c>
      <x:c r="C7" s="20" t="str">
        <x:v>value、evidence_quote、source=explicit、confidence=1</x:v>
      </x:c>
      <x:c r="D7" s="20" t="str">
        <x:v>没有原话证据就不能标为显性</x:v>
      </x:c>
      <x:c r="E7" s="20" t="str">
        <x:v>explicit_facts[]</x:v>
      </x:c>
    </x:row>
    <x:row r="8" ht="62" customHeight="1">
      <x:c r="A8" s="20" t="str">
        <x:v>03 形成潜意图</x:v>
      </x:c>
      <x:c r="B8" s="20" t="str">
        <x:v>从目标、情绪、身份、取舍和行为序列推断需要</x:v>
      </x:c>
      <x:c r="C8" s="20" t="str">
        <x:v>need、evidence_quote、confidence、allowed_effect、needs_confirmation</x:v>
      </x:c>
      <x:c r="D8" s="20" t="str">
        <x:v>置信度低于0.50只能生成追问；不能影响路线排序</x:v>
      </x:c>
      <x:c r="E8" s="20" t="str">
        <x:v>latent_needs[]</x:v>
      </x:c>
    </x:row>
    <x:row r="9" ht="62" customHeight="1">
      <x:c r="A9" s="20" t="str">
        <x:v>04 处理冲突</x:v>
      </x:c>
      <x:c r="B9" s="20" t="str">
        <x:v>比较最新消息、硬约束与早期偏好</x:v>
      </x:c>
      <x:c r="C9" s="20" t="str">
        <x:v>active、superseded_by、conflict_reason</x:v>
      </x:c>
      <x:c r="D9" s="20" t="str">
        <x:v>最新明确事实覆盖旧事实；安全约束优先于偏好</x:v>
      </x:c>
      <x:c r="E9" s="20" t="str">
        <x:v>state_changes[]</x:v>
      </x:c>
    </x:row>
    <x:row r="10" ht="62" customHeight="1">
      <x:c r="A10" s="20" t="str">
        <x:v>05 决定追问</x:v>
      </x:c>
      <x:c r="B10" s="20" t="str">
        <x:v>从追问规则选最高价值问题</x:v>
      </x:c>
      <x:c r="C10" s="20" t="str">
        <x:v>question、reason、decision_changed</x:v>
      </x:c>
      <x:c r="D10" s="20" t="str">
        <x:v>每轮最多2个；不问已经回答的内容</x:v>
      </x:c>
      <x:c r="E10" s="20" t="str">
        <x:v>follow_up_questions[]</x:v>
      </x:c>
    </x:row>
    <x:row r="11" ht="62" customHeight="1">
      <x:c r="A11" s="20" t="str">
        <x:v>06 检索过滤</x:v>
      </x:c>
      <x:c r="B11" s="20" t="str">
        <x:v>先过滤不安全、不可履约和不适配模块</x:v>
      </x:c>
      <x:c r="C11" s="20" t="str">
        <x:v>hard_filters、candidate_module_ids</x:v>
      </x:c>
      <x:c r="D11" s="20" t="str">
        <x:v>未核验体验不能作为确定收费承诺</x:v>
      </x:c>
      <x:c r="E11" s="20" t="str">
        <x:v>eligible_modules[]</x:v>
      </x:c>
    </x:row>
    <x:row r="12" ht="62" customHeight="1">
      <x:c r="A12" s="20" t="str">
        <x:v>07 意图排序</x:v>
      </x:c>
      <x:c r="B12" s="20" t="str">
        <x:v>用画像分＋八个意图维度＋体力天气修正排序</x:v>
      </x:c>
      <x:c r="C12" s="20" t="str">
        <x:v>score_breakdown、confidence_used</x:v>
      </x:c>
      <x:c r="D12" s="20" t="str">
        <x:v>低置信推断不得提高或降低模块</x:v>
      </x:c>
      <x:c r="E12" s="20" t="str">
        <x:v>ranked_modules[]</x:v>
      </x:c>
    </x:row>
    <x:row r="13" ht="62" customHeight="1">
      <x:c r="A13" s="20" t="str">
        <x:v>08 去重装配</x:v>
      </x:c>
      <x:c r="B13" s="20" t="str">
        <x:v>按天选2—4个模块并执行夜景、老街、场馆去重</x:v>
      </x:c>
      <x:c r="C13" s="20" t="str">
        <x:v>day_theme、modules、removed_duplicates</x:v>
      </x:c>
      <x:c r="D13" s="20" t="str">
        <x:v>一天一个主叙事；不是排名前几名直接堆在一起</x:v>
      </x:c>
      <x:c r="E13" s="20" t="str">
        <x:v>roadbook_days[]</x:v>
      </x:c>
    </x:row>
    <x:row r="14" ht="62" customHeight="1">
      <x:c r="A14" s="20" t="str">
        <x:v>09 对客表达</x:v>
      </x:c>
      <x:c r="B14" s="20" t="str">
        <x:v>只输出承诺、核心解释、观察任务和一个现实提醒</x:v>
      </x:c>
      <x:c r="C14" s="20" t="str">
        <x:v>why_this_fits、module_story、practical_note</x:v>
      </x:c>
      <x:c r="D14" s="20" t="str">
        <x:v>不得暴露内部评分、画像标签或未经确认的推断</x:v>
      </x:c>
      <x:c r="E14" s="20" t="str">
        <x:v>traveler_roadbook</x:v>
      </x:c>
    </x:row>
    <x:row r="15" ht="62" customHeight="1">
      <x:c r="A15" s="20" t="str">
        <x:v>10 商业承接</x:v>
      </x:c>
      <x:c r="B15" s="20" t="str">
        <x:v>识别是否需要人工校验、专家、预约或报价</x:v>
      </x:c>
      <x:c r="C15" s="20" t="str">
        <x:v>service_level、handoff_reason、booking_state</x:v>
      </x:c>
      <x:c r="D15" s="20" t="str">
        <x:v>客户询价或高风险需求时给明确下一步</x:v>
      </x:c>
      <x:c r="E15" s="20" t="str">
        <x:v>commercial_handoff</x:v>
      </x:c>
    </x:row>
    <x:row r="16" ht="62" customHeight="1">
      <x:c r="A16" s="21" t="str">
        <x:v>11 发布前复核</x:v>
      </x:c>
      <x:c r="B16" s="21" t="str">
        <x:v>复核动态开放、天气、施工、排期和供应商</x:v>
      </x:c>
      <x:c r="C16" s="21" t="str">
        <x:v>verified_at、verified_by、fallback</x:v>
      </x:c>
      <x:c r="D16" s="21" t="str">
        <x:v>没有复核就使用条件句或替代方案</x:v>
      </x:c>
      <x:c r="E16" s="21" t="str">
        <x:v>release_check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c54b6f4db3843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8" hidden="0" customWidth="1"/>
    <x:col min="3" max="3" width="24" hidden="0" customWidth="1"/>
    <x:col min="4" max="4" width="28" hidden="0" customWidth="1"/>
    <x:col min="5" max="5" width="36" hidden="0" customWidth="1"/>
    <x:col min="6" max="6" width="34" hidden="0" customWidth="1"/>
    <x:col min="7" max="7" width="36" hidden="0" customWidth="1"/>
    <x:col min="8" max="8" width="32" hidden="0" customWidth="1"/>
    <x:col min="9" max="9" width="12" hidden="0" customWidth="1"/>
    <x:col min="10" max="10" width="34" hidden="0" customWidth="1"/>
  </x:cols>
  <x:sheetData>
    <x:row r="1" ht="32" customHeight="1">
      <x:c r="A1" s="3" t="str">
        <x:v>游客输出器｜从客户对话生成有重点的路书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本页由“智能体会话输入”驱动。每一天独立选择2—4个模块，并说明为什么适合这位客户；不向客户暴露内部画像、分数和推断过程。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9" customHeight="1">
      <x:c r="A4" s="83" t="str">
        <x:v>行程天数</x:v>
      </x:c>
      <x:c r="B4" s="86" t="n">
        <x:f>'智能体会话输入'!B12</x:f>
        <x:v>3</x:v>
      </x:c>
      <x:c r="C4" s="90" t="str">
        <x:v>由客户明确可用的完整天数决定</x:v>
      </x:c>
      <x:c r="D4" s="90"/>
      <x:c r="E4" s="90"/>
      <x:c r="F4" s="90"/>
      <x:c r="G4" s="90"/>
      <x:c r="H4" s="90"/>
      <x:c r="I4" s="90"/>
      <x:c r="J4" s="90"/>
    </x:row>
    <x:row r="5" ht="29" customHeight="1">
      <x:c r="A5" s="83" t="str">
        <x:v>客群</x:v>
      </x:c>
      <x:c r="B5" s="86" t="str">
        <x:f>'智能体会话输入'!B13</x:f>
        <x:v>首次经典</x:v>
      </x:c>
      <x:c r="C5" s="90" t="str">
        <x:v>画像只是基础分，八个潜意图维度会继续修正</x:v>
      </x:c>
      <x:c r="D5" s="90"/>
      <x:c r="E5" s="90"/>
      <x:c r="F5" s="90"/>
      <x:c r="G5" s="90"/>
      <x:c r="H5" s="90"/>
      <x:c r="I5" s="90"/>
      <x:c r="J5" s="90"/>
    </x:row>
    <x:row r="6" ht="29" customHeight="1">
      <x:c r="A6" s="83" t="str">
        <x:v>体力</x:v>
      </x:c>
      <x:c r="B6" s="86" t="str">
        <x:f>'智能体会话输入'!B15</x:f>
        <x:v>低</x:v>
      </x:c>
      <x:c r="C6" s="90" t="str">
        <x:v>只有确认后的体力信息才能作为硬过滤</x:v>
      </x:c>
      <x:c r="D6" s="90"/>
      <x:c r="E6" s="90"/>
      <x:c r="F6" s="90"/>
      <x:c r="G6" s="90"/>
      <x:c r="H6" s="90"/>
      <x:c r="I6" s="90"/>
      <x:c r="J6" s="90"/>
    </x:row>
    <x:row r="7" ht="29" customHeight="1">
      <x:c r="A7" s="83" t="str">
        <x:v>天气/条件</x:v>
      </x:c>
      <x:c r="B7" s="86" t="str">
        <x:f>'智能体会话输入'!B16</x:f>
        <x:v>正常</x:v>
      </x:c>
      <x:c r="C7" s="90" t="str">
        <x:v>天气和动态运营信息发布前必须再次复核</x:v>
      </x:c>
      <x:c r="D7" s="90"/>
      <x:c r="E7" s="90"/>
      <x:c r="F7" s="90"/>
      <x:c r="G7" s="90"/>
      <x:c r="H7" s="90"/>
      <x:c r="I7" s="90"/>
      <x:c r="J7" s="90"/>
    </x:row>
    <x:row r="8" ht="29" customHeight="1">
      <x:c r="A8" s="83" t="str">
        <x:v>第4天版本</x:v>
      </x:c>
      <x:c r="B8" s="86" t="str">
        <x:f>'智能体会话输入'!B17</x:f>
        <x:v>开埠徒步</x:v>
      </x:c>
      <x:c r="C8" s="90" t="str">
        <x:v>只有4天行程时生效</x:v>
      </x:c>
      <x:c r="D8" s="90"/>
      <x:c r="E8" s="90"/>
      <x:c r="F8" s="90"/>
      <x:c r="G8" s="90"/>
      <x:c r="H8" s="90"/>
      <x:c r="I8" s="90"/>
      <x:c r="J8" s="90"/>
    </x:row>
    <x:row r="9" ht="29" customHeight="1">
      <x:c r="A9" s="83" t="str">
        <x:v>输出长度</x:v>
      </x:c>
      <x:c r="B9" s="86" t="str">
        <x:f>'智能体会话输入'!B18</x:f>
        <x:v>标准</x:v>
      </x:c>
      <x:c r="C9" s="90" t="str">
        <x:v>精简2个/天；标准3个/天；深度4个/天</x:v>
      </x:c>
      <x:c r="D9" s="90"/>
      <x:c r="E9" s="90"/>
      <x:c r="F9" s="90"/>
      <x:c r="G9" s="90"/>
      <x:c r="H9" s="90"/>
      <x:c r="I9" s="90"/>
      <x:c r="J9" s="90"/>
    </x:row>
    <x:row r="11" ht="36" customHeight="1">
      <x:c r="A11" s="48" t="str">
        <x:v>每日模块预算</x:v>
      </x:c>
      <x:c r="B11" s="48" t="n">
        <x:f>IF(B9="精简",2,IF(B9="标准",3,4))</x:f>
        <x:v>3</x:v>
      </x:c>
      <x:c r="C11" s="48" t="str">
        <x:v>旅行承诺</x:v>
      </x:c>
      <x:c r="D11" s="93" t="str">
        <x:f>IF(B5="首次经典","用三天看懂重庆为什么像科幻、又怎样真实运转。",IF(B5="赛博摄影","从多重地面、单轨和江岸夜景拍到真正不可替代的重庆。",IF(B5="文化历史","沿着移民、城门、抗战和开埠读懂重庆的世界联系。",IF(B5="美食生活","从小面、火锅、茶馆和夜生活进入重庆人的日常。",IF(B5="亲子轻松","用博物馆、轨道和低体力夜景轻松认识立体重庆。","跳过首访打卡，进入开埠、艺术、社区与工业重庆。")))))</x:f>
        <x:v>用三天看懂重庆为什么像科幻、又怎样真实运转。</x:v>
      </x:c>
      <x:c r="E11" s="93"/>
      <x:c r="F11" s="93"/>
      <x:c r="G11" s="93"/>
      <x:c r="H11" s="93"/>
      <x:c r="I11" s="93"/>
      <x:c r="J11" s="93"/>
    </x:row>
    <x:row r="14" ht="34" customHeight="1">
      <x:c r="A14" s="10" t="str">
        <x:v>天</x:v>
      </x:c>
      <x:c r="B14" s="10" t="str">
        <x:v>序号</x:v>
      </x:c>
      <x:c r="C14" s="10" t="str">
        <x:v>输出模块</x:v>
      </x:c>
      <x:c r="D14" s="10" t="str">
        <x:v>核心节点</x:v>
      </x:c>
      <x:c r="E14" s="10" t="str">
        <x:v>给游客的承诺</x:v>
      </x:c>
      <x:c r="F14" s="10" t="str">
        <x:v>为什么适合你</x:v>
      </x:c>
      <x:c r="G14" s="10" t="str">
        <x:v>只讲一个核心解释</x:v>
      </x:c>
      <x:c r="H14" s="10" t="str">
        <x:v>游客观察任务</x:v>
      </x:c>
      <x:c r="I14" s="10" t="str">
        <x:v>时长</x:v>
      </x:c>
      <x:c r="J14" s="10" t="str">
        <x:v>现实提醒</x:v>
      </x:c>
    </x:row>
    <x:row r="15" ht="68" customHeight="1">
      <x:c r="A15" s="97" t="str">
        <x:f>IF(AND(1&lt;=$B$11,OR("D1"&lt;&gt;"D4",$B$4=4),VALUE(RIGHT("D1",1))&lt;=$B$4),"D1","")</x:f>
        <x:v>D1</x:v>
      </x:c>
      <x:c r="B15" s="97" t="n">
        <x:f>IF(AND(1&lt;=$B$11,OR("D1"&lt;&gt;"D4",$B$4=4),VALUE(RIGHT("D1",1))&lt;=$B$4),1,"")</x:f>
        <x:v>1</x:v>
      </x:c>
      <x:c r="C15" s="97" t="str">
        <x:f>IF(AND(1&lt;=$B$11,OR("D1"&lt;&gt;"D4",$B$4=4),VALUE(RIGHT("D1",1))&lt;=$B$4),INDEX('路线模块库'!$D$6:$D$29,MATCH("D1-1",'匹配计算'!$L$6:$L$29,0)),"")</x:f>
        <x:v>多重地面实验</x:v>
      </x:c>
      <x:c r="D15" s="97" t="str">
        <x:f>IF(AND(1&lt;=$B$11,OR("D1"&lt;&gt;"D4",$B$4=4),VALUE(RIGHT("D1",1))&lt;=$B$4),INDEX('路线模块库'!$G$6:$G$29,MATCH("D1-1",'匹配计算'!$L$6:$L$29,0)),"")</x:f>
        <x:v>魁星楼与高差平台</x:v>
      </x:c>
      <x:c r="E15" s="97" t="str">
        <x:f>IF(AND(1&lt;=$B$11,OR("D1"&lt;&gt;"D4",$B$4=4),VALUE(RIGHT("D1",1))&lt;=$B$4),INDEX('路线模块库'!$H$6:$H$29,MATCH("D1-1",'匹配计算'!$L$6:$L$29,0)),"")</x:f>
        <x:v>亲自验证“22层也是地面”，这是重庆最有效的第一记忆点。</x:v>
      </x:c>
      <x:c r="F15" s="97" t="str">
        <x:f>IF(AND(1&lt;=$B$11,OR("D1"&lt;&gt;"D4",$B$4=4),VALUE(RIGHT("D1",1))&lt;=$B$4),IF(INDEX('匹配计算'!$W$6:$W$29,MATCH("D1-1",'匹配计算'!$L$6:$L$29,0))="视觉奇观","符合你想看到重庆不可替代立体城市感的目标。",IF(INDEX('匹配计算'!$W$6:$W$29,MATCH("D1-1",'匹配计算'!$L$6:$L$29,0))="历史理解","符合你想理解城市为何如此形成的目标。",IF(INDEX('匹配计算'!$W$6:$W$29,MATCH("D1-1",'匹配计算'!$L$6:$L$29,0))="在地生活","符合你不想只走网红打卡路线的偏好。",IF(INDEX('匹配计算'!$W$6:$W$29,MATCH("D1-1",'匹配计算'!$L$6:$L$29,0))="饮食互动","符合你希望通过饮食进入本地生活的偏好。",IF(INDEX('匹配计算'!$W$6:$W$29,MATCH("D1-1",'匹配计算'!$L$6:$L$29,0))="低摩擦","符合你重视节奏、少走冤枉路和确定性的需要。",IF(INDEX('匹配计算'!$W$6:$W$29,MATCH("D1-1",'匹配计算'!$L$6:$L$29,0))="摄影创作","符合你想获得更有内容的照片或视频素材的目标。",IF(INDEX('匹配计算'!$W$6:$W$29,MATCH("D1-1",'匹配计算'!$L$6:$L$29,0))="亲子教育","符合亲子共同观察和理解城市的需要。",IF(INDEX('匹配计算'!$W$6:$W$29,MATCH("D1-1",'匹配计算'!$L$6:$L$29,0))="复游新鲜感","符合你想避开重复经典、获得新鲜体验的需要。","符合本次行程的基础画像和城市主叙事。")))))))),"")</x:f>
        <x:v>符合你想看到重庆不可替代立体城市感的目标。</x:v>
      </x:c>
      <x:c r="G15" s="97" t="str">
        <x:f>IF(AND(1&lt;=$B$11,OR("D1"&lt;&gt;"D4",$B$4=4),VALUE(RIGHT("D1",1))&lt;=$B$4),INDEX('路线模块库'!$I$6:$I$29,MATCH("D1-1",'匹配计算'!$L$6:$L$29,0)),"")</x:f>
        <x:v>山地让城市拥有多个同时成立的地面。</x:v>
      </x:c>
      <x:c r="H15" s="97" t="str">
        <x:f>IF(AND(1&lt;=$B$11,OR("D1"&lt;&gt;"D4",$B$4=4),VALUE(RIGHT("D1",1))&lt;=$B$4),INDEX('路线模块库'!$J$6:$J$29,MATCH("D1-1",'匹配计算'!$L$6:$L$29,0)),"")</x:f>
        <x:v>先猜楼层，再换一个出口验证。</x:v>
      </x:c>
      <x:c r="I15" s="97" t="n">
        <x:f>IF(AND(1&lt;=$B$11,OR("D1"&lt;&gt;"D4",$B$4=4),VALUE(RIGHT("D1",1))&lt;=$B$4),INDEX('路线模块库'!$K$6:$K$29,MATCH("D1-1",'匹配计算'!$L$6:$L$29,0)),"")</x:f>
        <x:v>40</x:v>
      </x:c>
      <x:c r="J15" s="97" t="str">
        <x:f>IF(AND(1&lt;=$B$11,OR("D1"&lt;&gt;"D4",$B$4=4),VALUE(RIGHT("D1",1))&lt;=$B$4),INDEX('路线模块库'!$AN$6:$AN$29,MATCH("D1-1",'匹配计算'!$L$6:$L$29,0)),"")</x:f>
        <x:v>若有恐高请提前说明；现场不需要靠近边缘。</x:v>
      </x:c>
    </x:row>
    <x:row r="16" ht="68" customHeight="1">
      <x:c r="A16" s="97" t="str">
        <x:f>IF(AND(2&lt;=$B$11,OR("D1"&lt;&gt;"D4",$B$4=4),VALUE(RIGHT("D1",1))&lt;=$B$4),"D1","")</x:f>
        <x:v>D1</x:v>
      </x:c>
      <x:c r="B16" s="97" t="n">
        <x:f>IF(AND(2&lt;=$B$11,OR("D1"&lt;&gt;"D4",$B$4=4),VALUE(RIGHT("D1",1))&lt;=$B$4),2,"")</x:f>
        <x:v>2</x:v>
      </x:c>
      <x:c r="C16" s="97" t="str">
        <x:f>IF(AND(2&lt;=$B$11,OR("D1"&lt;&gt;"D4",$B$4=4),VALUE(RIGHT("D1",1))&lt;=$B$4),INDEX('路线模块库'!$D$6:$D$29,MATCH("D1-2",'匹配计算'!$L$6:$L$29,0)),"")</x:f>
        <x:v>夜景读图：不挤进洪崖洞</x:v>
      </x:c>
      <x:c r="D16" s="97" t="str">
        <x:f>IF(AND(2&lt;=$B$11,OR("D1"&lt;&gt;"D4",$B$4=4),VALUE(RIGHT("D1",1))&lt;=$B$4),INDEX('路线模块库'!$G$6:$G$29,MATCH("D1-2",'匹配计算'!$L$6:$L$29,0)),"")</x:f>
        <x:v>戴家巷—洪崖洞外观—大剧院江岸</x:v>
      </x:c>
      <x:c r="E16" s="97" t="str">
        <x:f>IF(AND(2&lt;=$B$11,OR("D1"&lt;&gt;"D4",$B$4=4),VALUE(RIGHT("D1",1))&lt;=$B$4),INDEX('路线模块库'!$H$6:$H$29,MATCH("D1-2",'匹配计算'!$L$6:$L$29,0)),"")</x:f>
        <x:v>从对岸把桥、江、崖、楼群和灯光读成一张城市剖面。</x:v>
      </x:c>
      <x:c r="F16" s="97" t="str">
        <x:f>IF(AND(2&lt;=$B$11,OR("D1"&lt;&gt;"D4",$B$4=4),VALUE(RIGHT("D1",1))&lt;=$B$4),IF(INDEX('匹配计算'!$W$6:$W$29,MATCH("D1-2",'匹配计算'!$L$6:$L$29,0))="视觉奇观","符合你想看到重庆不可替代立体城市感的目标。",IF(INDEX('匹配计算'!$W$6:$W$29,MATCH("D1-2",'匹配计算'!$L$6:$L$29,0))="历史理解","符合你想理解城市为何如此形成的目标。",IF(INDEX('匹配计算'!$W$6:$W$29,MATCH("D1-2",'匹配计算'!$L$6:$L$29,0))="在地生活","符合你不想只走网红打卡路线的偏好。",IF(INDEX('匹配计算'!$W$6:$W$29,MATCH("D1-2",'匹配计算'!$L$6:$L$29,0))="饮食互动","符合你希望通过饮食进入本地生活的偏好。",IF(INDEX('匹配计算'!$W$6:$W$29,MATCH("D1-2",'匹配计算'!$L$6:$L$29,0))="低摩擦","符合你重视节奏、少走冤枉路和确定性的需要。",IF(INDEX('匹配计算'!$W$6:$W$29,MATCH("D1-2",'匹配计算'!$L$6:$L$29,0))="摄影创作","符合你想获得更有内容的照片或视频素材的目标。",IF(INDEX('匹配计算'!$W$6:$W$29,MATCH("D1-2",'匹配计算'!$L$6:$L$29,0))="亲子教育","符合亲子共同观察和理解城市的需要。",IF(INDEX('匹配计算'!$W$6:$W$29,MATCH("D1-2",'匹配计算'!$L$6:$L$29,0))="复游新鲜感","符合你想避开重复经典、获得新鲜体验的需要。","符合本次行程的基础画像和城市主叙事。")))))))),"")</x:f>
        <x:v>符合你想看到重庆不可替代立体城市感的目标。</x:v>
      </x:c>
      <x:c r="G16" s="97" t="str">
        <x:f>IF(AND(2&lt;=$B$11,OR("D1"&lt;&gt;"D4",$B$4=4),VALUE(RIGHT("D1",1))&lt;=$B$4),INDEX('路线模块库'!$I$6:$I$29,MATCH("D1-2",'匹配计算'!$L$6:$L$29,0)),"")</x:f>
        <x:v>洪崖洞是视觉入口，不是必须逛完的内部商业综合体。</x:v>
      </x:c>
      <x:c r="H16" s="97" t="str">
        <x:f>IF(AND(2&lt;=$B$11,OR("D1"&lt;&gt;"D4",$B$4=4),VALUE(RIGHT("D1",1))&lt;=$B$4),INDEX('路线模块库'!$J$6:$J$29,MATCH("D1-2",'匹配计算'!$L$6:$L$29,0)),"")</x:f>
        <x:v>指出当天走过的山脊、江岸和桥。</x:v>
      </x:c>
      <x:c r="I16" s="97" t="n">
        <x:f>IF(AND(2&lt;=$B$11,OR("D1"&lt;&gt;"D4",$B$4=4),VALUE(RIGHT("D1",1))&lt;=$B$4),INDEX('路线模块库'!$K$6:$K$29,MATCH("D1-2",'匹配计算'!$L$6:$L$29,0)),"")</x:f>
        <x:v>150</x:v>
      </x:c>
      <x:c r="J16" s="97" t="str">
        <x:f>IF(AND(2&lt;=$B$11,OR("D1"&lt;&gt;"D4",$B$4=4),VALUE(RIGHT("D1",1))&lt;=$B$4),INDEX('路线模块库'!$AN$6:$AN$29,MATCH("D1-2",'匹配计算'!$L$6:$L$29,0)),"")</x:f>
        <x:v>夜间人流较大；灯光和无人机安排以当日官方信息为准。</x:v>
      </x:c>
    </x:row>
    <x:row r="17" ht="68" customHeight="1">
      <x:c r="A17" s="97" t="str">
        <x:f>IF(AND(3&lt;=$B$11,OR("D1"&lt;&gt;"D4",$B$4=4),VALUE(RIGHT("D1",1))&lt;=$B$4),"D1","")</x:f>
        <x:v>D1</x:v>
      </x:c>
      <x:c r="B17" s="97" t="n">
        <x:f>IF(AND(3&lt;=$B$11,OR("D1"&lt;&gt;"D4",$B$4=4),VALUE(RIGHT("D1",1))&lt;=$B$4),3,"")</x:f>
        <x:v>3</x:v>
      </x:c>
      <x:c r="C17" s="97" t="str">
        <x:f>IF(AND(3&lt;=$B$11,OR("D1"&lt;&gt;"D4",$B$4=4),VALUE(RIGHT("D1",1))&lt;=$B$4),INDEX('路线模块库'!$D$6:$D$29,MATCH("D1-3",'匹配计算'!$L$6:$L$29,0)),"")</x:f>
        <x:v>两江门户</x:v>
      </x:c>
      <x:c r="D17" s="97" t="str">
        <x:f>IF(AND(3&lt;=$B$11,OR("D1"&lt;&gt;"D4",$B$4=4),VALUE(RIGHT("D1",1))&lt;=$B$4),INDEX('路线模块库'!$G$6:$G$29,MATCH("D1-3",'匹配计算'!$L$6:$L$29,0)),"")</x:f>
        <x:v>朝天门—两江交汇</x:v>
      </x:c>
      <x:c r="E17" s="97" t="str">
        <x:f>IF(AND(3&lt;=$B$11,OR("D1"&lt;&gt;"D4",$B$4=4),VALUE(RIGHT("D1",1))&lt;=$B$4),INDEX('路线模块库'!$H$6:$H$29,MATCH("D1-3",'匹配计算'!$L$6:$L$29,0)),"")</x:f>
        <x:v>从城市门户和两江方向理解重庆为什么生长在这里。</x:v>
      </x:c>
      <x:c r="F17" s="97" t="str">
        <x:f>IF(AND(3&lt;=$B$11,OR("D1"&lt;&gt;"D4",$B$4=4),VALUE(RIGHT("D1",1))&lt;=$B$4),IF(INDEX('匹配计算'!$W$6:$W$29,MATCH("D1-3",'匹配计算'!$L$6:$L$29,0))="视觉奇观","符合你想看到重庆不可替代立体城市感的目标。",IF(INDEX('匹配计算'!$W$6:$W$29,MATCH("D1-3",'匹配计算'!$L$6:$L$29,0))="历史理解","符合你想理解城市为何如此形成的目标。",IF(INDEX('匹配计算'!$W$6:$W$29,MATCH("D1-3",'匹配计算'!$L$6:$L$29,0))="在地生活","符合你不想只走网红打卡路线的偏好。",IF(INDEX('匹配计算'!$W$6:$W$29,MATCH("D1-3",'匹配计算'!$L$6:$L$29,0))="饮食互动","符合你希望通过饮食进入本地生活的偏好。",IF(INDEX('匹配计算'!$W$6:$W$29,MATCH("D1-3",'匹配计算'!$L$6:$L$29,0))="低摩擦","符合你重视节奏、少走冤枉路和确定性的需要。",IF(INDEX('匹配计算'!$W$6:$W$29,MATCH("D1-3",'匹配计算'!$L$6:$L$29,0))="摄影创作","符合你想获得更有内容的照片或视频素材的目标。",IF(INDEX('匹配计算'!$W$6:$W$29,MATCH("D1-3",'匹配计算'!$L$6:$L$29,0))="亲子教育","符合亲子共同观察和理解城市的需要。",IF(INDEX('匹配计算'!$W$6:$W$29,MATCH("D1-3",'匹配计算'!$L$6:$L$29,0))="复游新鲜感","符合你想避开重复经典、获得新鲜体验的需要。","符合本次行程的基础画像和城市主叙事。")))))))),"")</x:f>
        <x:v>符合你想看到重庆不可替代立体城市感的目标。</x:v>
      </x:c>
      <x:c r="G17" s="97" t="str">
        <x:f>IF(AND(3&lt;=$B$11,OR("D1"&lt;&gt;"D4",$B$4=4),VALUE(RIGHT("D1",1))&lt;=$B$4),INDEX('路线模块库'!$I$6:$I$29,MATCH("D1-3",'匹配计算'!$L$6:$L$29,0)),"")</x:f>
        <x:v>朝天门首先是城门和码头，其次才是现代天际线。</x:v>
      </x:c>
      <x:c r="H17" s="97" t="str">
        <x:f>IF(AND(3&lt;=$B$11,OR("D1"&lt;&gt;"D4",$B$4=4),VALUE(RIGHT("D1",1))&lt;=$B$4),INDEX('路线模块库'!$J$6:$J$29,MATCH("D1-3",'匹配计算'!$L$6:$L$29,0)),"")</x:f>
        <x:v>在江岸重建长江、嘉陵江和半岛方向。</x:v>
      </x:c>
      <x:c r="I17" s="97" t="n">
        <x:f>IF(AND(3&lt;=$B$11,OR("D1"&lt;&gt;"D4",$B$4=4),VALUE(RIGHT("D1",1))&lt;=$B$4),INDEX('路线模块库'!$K$6:$K$29,MATCH("D1-3",'匹配计算'!$L$6:$L$29,0)),"")</x:f>
        <x:v>75</x:v>
      </x:c>
      <x:c r="J17" s="97" t="str">
        <x:f>IF(AND(3&lt;=$B$11,OR("D1"&lt;&gt;"D4",$B$4=4),VALUE(RIGHT("D1",1))&lt;=$B$4),INDEX('路线模块库'!$AN$6:$AN$29,MATCH("D1-3",'匹配计算'!$L$6:$L$29,0)),"")</x:f>
        <x:v>江岸入口和步行距离需按当天开放情况调整。</x:v>
      </x:c>
    </x:row>
    <x:row r="18" ht="68" customHeight="1">
      <x:c r="A18" s="97" t="str">
        <x:f>IF(AND(4&lt;=$B$11,OR("D1"&lt;&gt;"D4",$B$4=4),VALUE(RIGHT("D1",1))&lt;=$B$4),"D1","")</x:f>
      </x:c>
      <x:c r="B18" s="97" t="str">
        <x:f>IF(AND(4&lt;=$B$11,OR("D1"&lt;&gt;"D4",$B$4=4),VALUE(RIGHT("D1",1))&lt;=$B$4),4,"")</x:f>
      </x:c>
      <x:c r="C18" s="97" t="str">
        <x:f>IF(AND(4&lt;=$B$11,OR("D1"&lt;&gt;"D4",$B$4=4),VALUE(RIGHT("D1",1))&lt;=$B$4),INDEX('路线模块库'!$D$6:$D$29,MATCH("D1-4",'匹配计算'!$L$6:$L$29,0)),"")</x:f>
      </x:c>
      <x:c r="D18" s="97" t="str">
        <x:f>IF(AND(4&lt;=$B$11,OR("D1"&lt;&gt;"D4",$B$4=4),VALUE(RIGHT("D1",1))&lt;=$B$4),INDEX('路线模块库'!$G$6:$G$29,MATCH("D1-4",'匹配计算'!$L$6:$L$29,0)),"")</x:f>
      </x:c>
      <x:c r="E18" s="97" t="str">
        <x:f>IF(AND(4&lt;=$B$11,OR("D1"&lt;&gt;"D4",$B$4=4),VALUE(RIGHT("D1",1))&lt;=$B$4),INDEX('路线模块库'!$H$6:$H$29,MATCH("D1-4",'匹配计算'!$L$6:$L$29,0)),"")</x:f>
      </x:c>
      <x:c r="F18" s="97" t="str">
        <x:f>IF(AND(4&lt;=$B$11,OR("D1"&lt;&gt;"D4",$B$4=4),VALUE(RIGHT("D1",1))&lt;=$B$4),IF(INDEX('匹配计算'!$W$6:$W$29,MATCH("D1-4",'匹配计算'!$L$6:$L$29,0))="视觉奇观","符合你想看到重庆不可替代立体城市感的目标。",IF(INDEX('匹配计算'!$W$6:$W$29,MATCH("D1-4",'匹配计算'!$L$6:$L$29,0))="历史理解","符合你想理解城市为何如此形成的目标。",IF(INDEX('匹配计算'!$W$6:$W$29,MATCH("D1-4",'匹配计算'!$L$6:$L$29,0))="在地生活","符合你不想只走网红打卡路线的偏好。",IF(INDEX('匹配计算'!$W$6:$W$29,MATCH("D1-4",'匹配计算'!$L$6:$L$29,0))="饮食互动","符合你希望通过饮食进入本地生活的偏好。",IF(INDEX('匹配计算'!$W$6:$W$29,MATCH("D1-4",'匹配计算'!$L$6:$L$29,0))="低摩擦","符合你重视节奏、少走冤枉路和确定性的需要。",IF(INDEX('匹配计算'!$W$6:$W$29,MATCH("D1-4",'匹配计算'!$L$6:$L$29,0))="摄影创作","符合你想获得更有内容的照片或视频素材的目标。",IF(INDEX('匹配计算'!$W$6:$W$29,MATCH("D1-4",'匹配计算'!$L$6:$L$29,0))="亲子教育","符合亲子共同观察和理解城市的需要。",IF(INDEX('匹配计算'!$W$6:$W$29,MATCH("D1-4",'匹配计算'!$L$6:$L$29,0))="复游新鲜感","符合你想避开重复经典、获得新鲜体验的需要。","符合本次行程的基础画像和城市主叙事。")))))))),"")</x:f>
      </x:c>
      <x:c r="G18" s="97" t="str">
        <x:f>IF(AND(4&lt;=$B$11,OR("D1"&lt;&gt;"D4",$B$4=4),VALUE(RIGHT("D1",1))&lt;=$B$4),INDEX('路线模块库'!$I$6:$I$29,MATCH("D1-4",'匹配计算'!$L$6:$L$29,0)),"")</x:f>
      </x:c>
      <x:c r="H18" s="97" t="str">
        <x:f>IF(AND(4&lt;=$B$11,OR("D1"&lt;&gt;"D4",$B$4=4),VALUE(RIGHT("D1",1))&lt;=$B$4),INDEX('路线模块库'!$J$6:$J$29,MATCH("D1-4",'匹配计算'!$L$6:$L$29,0)),"")</x:f>
      </x:c>
      <x:c r="I18" s="97" t="str">
        <x:f>IF(AND(4&lt;=$B$11,OR("D1"&lt;&gt;"D4",$B$4=4),VALUE(RIGHT("D1",1))&lt;=$B$4),INDEX('路线模块库'!$K$6:$K$29,MATCH("D1-4",'匹配计算'!$L$6:$L$29,0)),"")</x:f>
      </x:c>
      <x:c r="J18" s="97" t="str">
        <x:f>IF(AND(4&lt;=$B$11,OR("D1"&lt;&gt;"D4",$B$4=4),VALUE(RIGHT("D1",1))&lt;=$B$4),INDEX('路线模块库'!$AN$6:$AN$29,MATCH("D1-4",'匹配计算'!$L$6:$L$29,0)),"")</x:f>
      </x:c>
    </x:row>
    <x:row r="19" ht="68" customHeight="1">
      <x:c r="A19" s="100" t="str">
        <x:f>IF(AND(1&lt;=$B$11,OR("D2"&lt;&gt;"D4",$B$4=4),VALUE(RIGHT("D2",1))&lt;=$B$4),"D2","")</x:f>
        <x:v>D2</x:v>
      </x:c>
      <x:c r="B19" s="100" t="n">
        <x:f>IF(AND(1&lt;=$B$11,OR("D2"&lt;&gt;"D4",$B$4=4),VALUE(RIGHT("D2",1))&lt;=$B$4),1,"")</x:f>
        <x:v>1</x:v>
      </x:c>
      <x:c r="C19" s="100" t="str">
        <x:f>IF(AND(1&lt;=$B$11,OR("D2"&lt;&gt;"D4",$B$4=4),VALUE(RIGHT("D2",1))&lt;=$B$4),INDEX('路线模块库'!$D$6:$D$29,MATCH("D2-1",'匹配计算'!$L$6:$L$29,0)),"")</x:f>
        <x:v>小面早餐与火锅社交</x:v>
      </x:c>
      <x:c r="D19" s="100" t="str">
        <x:f>IF(AND(1&lt;=$B$11,OR("D2"&lt;&gt;"D4",$B$4=4),VALUE(RIGHT("D2",1))&lt;=$B$4),INDEX('路线模块库'!$G$6:$G$29,MATCH("D2-1",'匹配计算'!$L$6:$L$29,0)),"")</x:f>
        <x:v>重庆小面—双语火锅体验</x:v>
      </x:c>
      <x:c r="E19" s="100" t="str">
        <x:f>IF(AND(1&lt;=$B$11,OR("D2"&lt;&gt;"D4",$B$4=4),VALUE(RIGHT("D2",1))&lt;=$B$4),INDEX('路线模块库'!$H$6:$H$29,MATCH("D2-1",'匹配计算'!$L$6:$L$29,0)),"")</x:f>
        <x:v>从一碗早餐进入日常，再用火锅理解共享餐桌、辣度和社交规则。</x:v>
      </x:c>
      <x:c r="F19" s="100" t="str">
        <x:f>IF(AND(1&lt;=$B$11,OR("D2"&lt;&gt;"D4",$B$4=4),VALUE(RIGHT("D2",1))&lt;=$B$4),IF(INDEX('匹配计算'!$W$6:$W$29,MATCH("D2-1",'匹配计算'!$L$6:$L$29,0))="视觉奇观","符合你想看到重庆不可替代立体城市感的目标。",IF(INDEX('匹配计算'!$W$6:$W$29,MATCH("D2-1",'匹配计算'!$L$6:$L$29,0))="历史理解","符合你想理解城市为何如此形成的目标。",IF(INDEX('匹配计算'!$W$6:$W$29,MATCH("D2-1",'匹配计算'!$L$6:$L$29,0))="在地生活","符合你不想只走网红打卡路线的偏好。",IF(INDEX('匹配计算'!$W$6:$W$29,MATCH("D2-1",'匹配计算'!$L$6:$L$29,0))="饮食互动","符合你希望通过饮食进入本地生活的偏好。",IF(INDEX('匹配计算'!$W$6:$W$29,MATCH("D2-1",'匹配计算'!$L$6:$L$29,0))="低摩擦","符合你重视节奏、少走冤枉路和确定性的需要。",IF(INDEX('匹配计算'!$W$6:$W$29,MATCH("D2-1",'匹配计算'!$L$6:$L$29,0))="摄影创作","符合你想获得更有内容的照片或视频素材的目标。",IF(INDEX('匹配计算'!$W$6:$W$29,MATCH("D2-1",'匹配计算'!$L$6:$L$29,0))="亲子教育","符合亲子共同观察和理解城市的需要。",IF(INDEX('匹配计算'!$W$6:$W$29,MATCH("D2-1",'匹配计算'!$L$6:$L$29,0))="复游新鲜感","符合你想避开重复经典、获得新鲜体验的需要。","符合本次行程的基础画像和城市主叙事。")))))))),"")</x:f>
        <x:v>符合你不想只走网红打卡路线的偏好。</x:v>
      </x:c>
      <x:c r="G19" s="100" t="str">
        <x:f>IF(AND(1&lt;=$B$11,OR("D2"&lt;&gt;"D4",$B$4=4),VALUE(RIGHT("D2",1))&lt;=$B$4),INDEX('路线模块库'!$I$6:$I$29,MATCH("D2-1",'匹配计算'!$L$6:$L$29,0)),"")</x:f>
        <x:v>餐厅名单不是产品；点菜、过敏、辣度和规则才是。</x:v>
      </x:c>
      <x:c r="H19" s="100" t="str">
        <x:f>IF(AND(1&lt;=$B$11,OR("D2"&lt;&gt;"D4",$B$4=4),VALUE(RIGHT("D2",1))&lt;=$B$4),INDEX('路线模块库'!$J$6:$J$29,MATCH("D2-1",'匹配计算'!$L$6:$L$29,0)),"")</x:f>
        <x:v>由游客完成一次有解释的点菜。</x:v>
      </x:c>
      <x:c r="I19" s="100" t="n">
        <x:f>IF(AND(1&lt;=$B$11,OR("D2"&lt;&gt;"D4",$B$4=4),VALUE(RIGHT("D2",1))&lt;=$B$4),INDEX('路线模块库'!$K$6:$K$29,MATCH("D2-1",'匹配计算'!$L$6:$L$29,0)),"")</x:f>
        <x:v>180</x:v>
      </x:c>
      <x:c r="J19" s="100" t="str">
        <x:f>IF(AND(1&lt;=$B$11,OR("D2"&lt;&gt;"D4",$B$4=4),VALUE(RIGHT("D2",1))&lt;=$B$4),INDEX('路线模块库'!$AN$6:$AN$29,MATCH("D2-1",'匹配计算'!$L$6:$L$29,0)),"")</x:f>
        <x:v>预订前必须确认过敏原、忌口和辣度；价格与取消规则另行说明。</x:v>
      </x:c>
    </x:row>
    <x:row r="20" ht="68" customHeight="1">
      <x:c r="A20" s="100" t="str">
        <x:f>IF(AND(2&lt;=$B$11,OR("D2"&lt;&gt;"D4",$B$4=4),VALUE(RIGHT("D2",1))&lt;=$B$4),"D2","")</x:f>
        <x:v>D2</x:v>
      </x:c>
      <x:c r="B20" s="100" t="n">
        <x:f>IF(AND(2&lt;=$B$11,OR("D2"&lt;&gt;"D4",$B$4=4),VALUE(RIGHT("D2",1))&lt;=$B$4),2,"")</x:f>
        <x:v>2</x:v>
      </x:c>
      <x:c r="C20" s="100" t="str">
        <x:f>IF(AND(2&lt;=$B$11,OR("D2"&lt;&gt;"D4",$B$4=4),VALUE(RIGHT("D2",1))&lt;=$B$4),INDEX('路线模块库'!$D$6:$D$29,MATCH("D2-2",'匹配计算'!$L$6:$L$29,0)),"")</x:f>
        <x:v>移民母城与水路城门</x:v>
      </x:c>
      <x:c r="D20" s="100" t="str">
        <x:f>IF(AND(2&lt;=$B$11,OR("D2"&lt;&gt;"D4",$B$4=4),VALUE(RIGHT("D2",1))&lt;=$B$4),INDEX('路线模块库'!$G$6:$G$29,MATCH("D2-2",'匹配计算'!$L$6:$L$29,0)),"")</x:f>
        <x:v>湖广会馆—东水门</x:v>
      </x:c>
      <x:c r="E20" s="100" t="str">
        <x:f>IF(AND(2&lt;=$B$11,OR("D2"&lt;&gt;"D4",$B$4=4),VALUE(RIGHT("D2",1))&lt;=$B$4),INDEX('路线模块库'!$H$6:$H$29,MATCH("D2-2",'匹配计算'!$L$6:$L$29,0)),"")</x:f>
        <x:v>从会馆、互助网络和水路入口理解重庆为什么是一座移民城市。</x:v>
      </x:c>
      <x:c r="F20" s="100" t="str">
        <x:f>IF(AND(2&lt;=$B$11,OR("D2"&lt;&gt;"D4",$B$4=4),VALUE(RIGHT("D2",1))&lt;=$B$4),IF(INDEX('匹配计算'!$W$6:$W$29,MATCH("D2-2",'匹配计算'!$L$6:$L$29,0))="视觉奇观","符合你想看到重庆不可替代立体城市感的目标。",IF(INDEX('匹配计算'!$W$6:$W$29,MATCH("D2-2",'匹配计算'!$L$6:$L$29,0))="历史理解","符合你想理解城市为何如此形成的目标。",IF(INDEX('匹配计算'!$W$6:$W$29,MATCH("D2-2",'匹配计算'!$L$6:$L$29,0))="在地生活","符合你不想只走网红打卡路线的偏好。",IF(INDEX('匹配计算'!$W$6:$W$29,MATCH("D2-2",'匹配计算'!$L$6:$L$29,0))="饮食互动","符合你希望通过饮食进入本地生活的偏好。",IF(INDEX('匹配计算'!$W$6:$W$29,MATCH("D2-2",'匹配计算'!$L$6:$L$29,0))="低摩擦","符合你重视节奏、少走冤枉路和确定性的需要。",IF(INDEX('匹配计算'!$W$6:$W$29,MATCH("D2-2",'匹配计算'!$L$6:$L$29,0))="摄影创作","符合你想获得更有内容的照片或视频素材的目标。",IF(INDEX('匹配计算'!$W$6:$W$29,MATCH("D2-2",'匹配计算'!$L$6:$L$29,0))="亲子教育","符合亲子共同观察和理解城市的需要。",IF(INDEX('匹配计算'!$W$6:$W$29,MATCH("D2-2",'匹配计算'!$L$6:$L$29,0))="复游新鲜感","符合你想避开重复经典、获得新鲜体验的需要。","符合本次行程的基础画像和城市主叙事。")))))))),"")</x:f>
        <x:v>符合你想避开重复经典、获得新鲜体验的需要。</x:v>
      </x:c>
      <x:c r="G20" s="100" t="str">
        <x:f>IF(AND(2&lt;=$B$11,OR("D2"&lt;&gt;"D4",$B$4=4),VALUE(RIGHT("D2",1))&lt;=$B$4),INDEX('路线模块库'!$I$6:$I$29,MATCH("D2-2",'匹配计算'!$L$6:$L$29,0)),"")</x:f>
        <x:v>会馆解决的是迁入者的商业、信仰和社会支持问题。</x:v>
      </x:c>
      <x:c r="H20" s="100" t="str">
        <x:f>IF(AND(2&lt;=$B$11,OR("D2"&lt;&gt;"D4",$B$4=4),VALUE(RIGHT("D2",1))&lt;=$B$4),INDEX('路线模块库'!$J$6:$J$29,MATCH("D2-2",'匹配计算'!$L$6:$L$29,0)),"")</x:f>
        <x:v>比较会馆功能与城门地形。</x:v>
      </x:c>
      <x:c r="I20" s="100" t="n">
        <x:f>IF(AND(2&lt;=$B$11,OR("D2"&lt;&gt;"D4",$B$4=4),VALUE(RIGHT("D2",1))&lt;=$B$4),INDEX('路线模块库'!$K$6:$K$29,MATCH("D2-2",'匹配计算'!$L$6:$L$29,0)),"")</x:f>
        <x:v>130</x:v>
      </x:c>
      <x:c r="J20" s="100" t="str">
        <x:f>IF(AND(2&lt;=$B$11,OR("D2"&lt;&gt;"D4",$B$4=4),VALUE(RIGHT("D2",1))&lt;=$B$4),INDEX('路线模块库'!$AN$6:$AN$29,MATCH("D2-2",'匹配计算'!$L$6:$L$29,0)),"")</x:f>
        <x:v>场馆开放与英文服务需在出发前复核。</x:v>
      </x:c>
    </x:row>
    <x:row r="21" ht="68" customHeight="1">
      <x:c r="A21" s="100" t="str">
        <x:f>IF(AND(3&lt;=$B$11,OR("D2"&lt;&gt;"D4",$B$4=4),VALUE(RIGHT("D2",1))&lt;=$B$4),"D2","")</x:f>
        <x:v>D2</x:v>
      </x:c>
      <x:c r="B21" s="100" t="n">
        <x:f>IF(AND(3&lt;=$B$11,OR("D2"&lt;&gt;"D4",$B$4=4),VALUE(RIGHT("D2",1))&lt;=$B$4),3,"")</x:f>
        <x:v>3</x:v>
      </x:c>
      <x:c r="C21" s="100" t="str">
        <x:f>IF(AND(3&lt;=$B$11,OR("D2"&lt;&gt;"D4",$B$4=4),VALUE(RIGHT("D2",1))&lt;=$B$4),INDEX('路线模块库'!$D$6:$D$29,MATCH("D2-3",'匹配计算'!$L$6:$L$29,0)),"")</x:f>
        <x:v>下半城贸易与金融</x:v>
      </x:c>
      <x:c r="D21" s="100" t="str">
        <x:f>IF(AND(3&lt;=$B$11,OR("D2"&lt;&gt;"D4",$B$4=4),VALUE(RIGHT("D2",1))&lt;=$B$4),INDEX('路线模块库'!$G$6:$G$29,MATCH("D2-3",'匹配计算'!$L$6:$L$29,0)),"")</x:f>
        <x:v>白象街—金融历史博物馆</x:v>
      </x:c>
      <x:c r="E21" s="100" t="str">
        <x:f>IF(AND(3&lt;=$B$11,OR("D2"&lt;&gt;"D4",$B$4=4),VALUE(RIGHT("D2",1))&lt;=$B$4),INDEX('路线模块库'!$H$6:$H$29,MATCH("D2-3",'匹配计算'!$L$6:$L$29,0)),"")</x:f>
        <x:v>把码头城市如何进入近代贸易和金融落到真实街区。</x:v>
      </x:c>
      <x:c r="F21" s="100" t="str">
        <x:f>IF(AND(3&lt;=$B$11,OR("D2"&lt;&gt;"D4",$B$4=4),VALUE(RIGHT("D2",1))&lt;=$B$4),IF(INDEX('匹配计算'!$W$6:$W$29,MATCH("D2-3",'匹配计算'!$L$6:$L$29,0))="视觉奇观","符合你想看到重庆不可替代立体城市感的目标。",IF(INDEX('匹配计算'!$W$6:$W$29,MATCH("D2-3",'匹配计算'!$L$6:$L$29,0))="历史理解","符合你想理解城市为何如此形成的目标。",IF(INDEX('匹配计算'!$W$6:$W$29,MATCH("D2-3",'匹配计算'!$L$6:$L$29,0))="在地生活","符合你不想只走网红打卡路线的偏好。",IF(INDEX('匹配计算'!$W$6:$W$29,MATCH("D2-3",'匹配计算'!$L$6:$L$29,0))="饮食互动","符合你希望通过饮食进入本地生活的偏好。",IF(INDEX('匹配计算'!$W$6:$W$29,MATCH("D2-3",'匹配计算'!$L$6:$L$29,0))="低摩擦","符合你重视节奏、少走冤枉路和确定性的需要。",IF(INDEX('匹配计算'!$W$6:$W$29,MATCH("D2-3",'匹配计算'!$L$6:$L$29,0))="摄影创作","符合你想获得更有内容的照片或视频素材的目标。",IF(INDEX('匹配计算'!$W$6:$W$29,MATCH("D2-3",'匹配计算'!$L$6:$L$29,0))="亲子教育","符合亲子共同观察和理解城市的需要。",IF(INDEX('匹配计算'!$W$6:$W$29,MATCH("D2-3",'匹配计算'!$L$6:$L$29,0))="复游新鲜感","符合你想避开重复经典、获得新鲜体验的需要。","符合本次行程的基础画像和城市主叙事。")))))))),"")</x:f>
        <x:v>符合你想避开重复经典、获得新鲜体验的需要。</x:v>
      </x:c>
      <x:c r="G21" s="100" t="str">
        <x:f>IF(AND(3&lt;=$B$11,OR("D2"&lt;&gt;"D4",$B$4=4),VALUE(RIGHT("D2",1))&lt;=$B$4),INDEX('路线模块库'!$I$6:$I$29,MATCH("D2-3",'匹配计算'!$L$6:$L$29,0)),"")</x:f>
        <x:v>不要把所有新旧建筑都讲成古迹。</x:v>
      </x:c>
      <x:c r="H21" s="100" t="str">
        <x:f>IF(AND(3&lt;=$B$11,OR("D2"&lt;&gt;"D4",$B$4=4),VALUE(RIGHT("D2",1))&lt;=$B$4),INDEX('路线模块库'!$J$6:$J$29,MATCH("D2-3",'匹配计算'!$L$6:$L$29,0)),"")</x:f>
        <x:v>区分历史建筑、修复部分和新商业。</x:v>
      </x:c>
      <x:c r="I21" s="100" t="n">
        <x:f>IF(AND(3&lt;=$B$11,OR("D2"&lt;&gt;"D4",$B$4=4),VALUE(RIGHT("D2",1))&lt;=$B$4),INDEX('路线模块库'!$K$6:$K$29,MATCH("D2-3",'匹配计算'!$L$6:$L$29,0)),"")</x:f>
        <x:v>95</x:v>
      </x:c>
      <x:c r="J21" s="100" t="str">
        <x:f>IF(AND(3&lt;=$B$11,OR("D2"&lt;&gt;"D4",$B$4=4),VALUE(RIGHT("D2",1))&lt;=$B$4),INDEX('路线模块库'!$AN$6:$AN$29,MATCH("D2-3",'匹配计算'!$L$6:$L$29,0)),"")</x:f>
        <x:v>部分建筑经过修复或更新，现场会明确区分历史遗存与新商业。</x:v>
      </x:c>
    </x:row>
    <x:row r="22" ht="68" customHeight="1">
      <x:c r="A22" s="100" t="str">
        <x:f>IF(AND(4&lt;=$B$11,OR("D2"&lt;&gt;"D4",$B$4=4),VALUE(RIGHT("D2",1))&lt;=$B$4),"D2","")</x:f>
      </x:c>
      <x:c r="B22" s="100" t="str">
        <x:f>IF(AND(4&lt;=$B$11,OR("D2"&lt;&gt;"D4",$B$4=4),VALUE(RIGHT("D2",1))&lt;=$B$4),4,"")</x:f>
      </x:c>
      <x:c r="C22" s="100" t="str">
        <x:f>IF(AND(4&lt;=$B$11,OR("D2"&lt;&gt;"D4",$B$4=4),VALUE(RIGHT("D2",1))&lt;=$B$4),INDEX('路线模块库'!$D$6:$D$29,MATCH("D2-4",'匹配计算'!$L$6:$L$29,0)),"")</x:f>
      </x:c>
      <x:c r="D22" s="100" t="str">
        <x:f>IF(AND(4&lt;=$B$11,OR("D2"&lt;&gt;"D4",$B$4=4),VALUE(RIGHT("D2",1))&lt;=$B$4),INDEX('路线模块库'!$G$6:$G$29,MATCH("D2-4",'匹配计算'!$L$6:$L$29,0)),"")</x:f>
      </x:c>
      <x:c r="E22" s="100" t="str">
        <x:f>IF(AND(4&lt;=$B$11,OR("D2"&lt;&gt;"D4",$B$4=4),VALUE(RIGHT("D2",1))&lt;=$B$4),INDEX('路线模块库'!$H$6:$H$29,MATCH("D2-4",'匹配计算'!$L$6:$L$29,0)),"")</x:f>
      </x:c>
      <x:c r="F22" s="100" t="str">
        <x:f>IF(AND(4&lt;=$B$11,OR("D2"&lt;&gt;"D4",$B$4=4),VALUE(RIGHT("D2",1))&lt;=$B$4),IF(INDEX('匹配计算'!$W$6:$W$29,MATCH("D2-4",'匹配计算'!$L$6:$L$29,0))="视觉奇观","符合你想看到重庆不可替代立体城市感的目标。",IF(INDEX('匹配计算'!$W$6:$W$29,MATCH("D2-4",'匹配计算'!$L$6:$L$29,0))="历史理解","符合你想理解城市为何如此形成的目标。",IF(INDEX('匹配计算'!$W$6:$W$29,MATCH("D2-4",'匹配计算'!$L$6:$L$29,0))="在地生活","符合你不想只走网红打卡路线的偏好。",IF(INDEX('匹配计算'!$W$6:$W$29,MATCH("D2-4",'匹配计算'!$L$6:$L$29,0))="饮食互动","符合你希望通过饮食进入本地生活的偏好。",IF(INDEX('匹配计算'!$W$6:$W$29,MATCH("D2-4",'匹配计算'!$L$6:$L$29,0))="低摩擦","符合你重视节奏、少走冤枉路和确定性的需要。",IF(INDEX('匹配计算'!$W$6:$W$29,MATCH("D2-4",'匹配计算'!$L$6:$L$29,0))="摄影创作","符合你想获得更有内容的照片或视频素材的目标。",IF(INDEX('匹配计算'!$W$6:$W$29,MATCH("D2-4",'匹配计算'!$L$6:$L$29,0))="亲子教育","符合亲子共同观察和理解城市的需要。",IF(INDEX('匹配计算'!$W$6:$W$29,MATCH("D2-4",'匹配计算'!$L$6:$L$29,0))="复游新鲜感","符合你想避开重复经典、获得新鲜体验的需要。","符合本次行程的基础画像和城市主叙事。")))))))),"")</x:f>
      </x:c>
      <x:c r="G22" s="100" t="str">
        <x:f>IF(AND(4&lt;=$B$11,OR("D2"&lt;&gt;"D4",$B$4=4),VALUE(RIGHT("D2",1))&lt;=$B$4),INDEX('路线模块库'!$I$6:$I$29,MATCH("D2-4",'匹配计算'!$L$6:$L$29,0)),"")</x:f>
      </x:c>
      <x:c r="H22" s="100" t="str">
        <x:f>IF(AND(4&lt;=$B$11,OR("D2"&lt;&gt;"D4",$B$4=4),VALUE(RIGHT("D2",1))&lt;=$B$4),INDEX('路线模块库'!$J$6:$J$29,MATCH("D2-4",'匹配计算'!$L$6:$L$29,0)),"")</x:f>
      </x:c>
      <x:c r="I22" s="100" t="str">
        <x:f>IF(AND(4&lt;=$B$11,OR("D2"&lt;&gt;"D4",$B$4=4),VALUE(RIGHT("D2",1))&lt;=$B$4),INDEX('路线模块库'!$K$6:$K$29,MATCH("D2-4",'匹配计算'!$L$6:$L$29,0)),"")</x:f>
      </x:c>
      <x:c r="J22" s="100" t="str">
        <x:f>IF(AND(4&lt;=$B$11,OR("D2"&lt;&gt;"D4",$B$4=4),VALUE(RIGHT("D2",1))&lt;=$B$4),INDEX('路线模块库'!$AN$6:$AN$29,MATCH("D2-4",'匹配计算'!$L$6:$L$29,0)),"")</x:f>
      </x:c>
    </x:row>
    <x:row r="23" ht="68" customHeight="1">
      <x:c r="A23" s="103" t="str">
        <x:f>IF(AND(1&lt;=$B$11,OR("D3"&lt;&gt;"D4",$B$4=4),VALUE(RIGHT("D3",1))&lt;=$B$4),"D3","")</x:f>
        <x:v>D3</x:v>
      </x:c>
      <x:c r="B23" s="103" t="n">
        <x:f>IF(AND(1&lt;=$B$11,OR("D3"&lt;&gt;"D4",$B$4=4),VALUE(RIGHT("D3",1))&lt;=$B$4),1,"")</x:f>
        <x:v>1</x:v>
      </x:c>
      <x:c r="C23" s="103" t="str">
        <x:f>IF(AND(1&lt;=$B$11,OR("D3"&lt;&gt;"D4",$B$4=4),VALUE(RIGHT("D3",1))&lt;=$B$4),INDEX('路线模块库'!$D$6:$D$29,MATCH("D3-1",'匹配计算'!$L$6:$L$29,0)),"")</x:f>
        <x:v>先乘坐，再拍照</x:v>
      </x:c>
      <x:c r="D23" s="103" t="str">
        <x:f>IF(AND(1&lt;=$B$11,OR("D3"&lt;&gt;"D4",$B$4=4),VALUE(RIGHT("D3",1))&lt;=$B$4),INDEX('路线模块库'!$G$6:$G$29,MATCH("D3-1",'匹配计算'!$L$6:$L$29,0)),"")</x:f>
        <x:v>轨道2号线—李子坝</x:v>
      </x:c>
      <x:c r="E23" s="103" t="str">
        <x:f>IF(AND(1&lt;=$B$11,OR("D3"&lt;&gt;"D4",$B$4=4),VALUE(RIGHT("D3",1))&lt;=$B$4),INDEX('路线模块库'!$H$6:$H$29,MATCH("D3-1",'匹配计算'!$L$6:$L$29,0)),"")</x:f>
        <x:v>单轨的价值是适应曲线、坡度和密集城市，而不是一张穿楼照片。</x:v>
      </x:c>
      <x:c r="F23" s="103" t="str">
        <x:f>IF(AND(1&lt;=$B$11,OR("D3"&lt;&gt;"D4",$B$4=4),VALUE(RIGHT("D3",1))&lt;=$B$4),IF(INDEX('匹配计算'!$W$6:$W$29,MATCH("D3-1",'匹配计算'!$L$6:$L$29,0))="视觉奇观","符合你想看到重庆不可替代立体城市感的目标。",IF(INDEX('匹配计算'!$W$6:$W$29,MATCH("D3-1",'匹配计算'!$L$6:$L$29,0))="历史理解","符合你想理解城市为何如此形成的目标。",IF(INDEX('匹配计算'!$W$6:$W$29,MATCH("D3-1",'匹配计算'!$L$6:$L$29,0))="在地生活","符合你不想只走网红打卡路线的偏好。",IF(INDEX('匹配计算'!$W$6:$W$29,MATCH("D3-1",'匹配计算'!$L$6:$L$29,0))="饮食互动","符合你希望通过饮食进入本地生活的偏好。",IF(INDEX('匹配计算'!$W$6:$W$29,MATCH("D3-1",'匹配计算'!$L$6:$L$29,0))="低摩擦","符合你重视节奏、少走冤枉路和确定性的需要。",IF(INDEX('匹配计算'!$W$6:$W$29,MATCH("D3-1",'匹配计算'!$L$6:$L$29,0))="摄影创作","符合你想获得更有内容的照片或视频素材的目标。",IF(INDEX('匹配计算'!$W$6:$W$29,MATCH("D3-1",'匹配计算'!$L$6:$L$29,0))="亲子教育","符合亲子共同观察和理解城市的需要。",IF(INDEX('匹配计算'!$W$6:$W$29,MATCH("D3-1",'匹配计算'!$L$6:$L$29,0))="复游新鲜感","符合你想避开重复经典、获得新鲜体验的需要。","符合本次行程的基础画像和城市主叙事。")))))))),"")</x:f>
        <x:v>符合你想看到重庆不可替代立体城市感的目标。</x:v>
      </x:c>
      <x:c r="G23" s="103" t="str">
        <x:f>IF(AND(1&lt;=$B$11,OR("D3"&lt;&gt;"D4",$B$4=4),VALUE(RIGHT("D3",1))&lt;=$B$4),INDEX('路线模块库'!$I$6:$I$29,MATCH("D3-1",'匹配计算'!$L$6:$L$29,0)),"")</x:f>
        <x:v>李子坝观景台是验证点，乘车才是核心。</x:v>
      </x:c>
      <x:c r="H23" s="103" t="str">
        <x:f>IF(AND(1&lt;=$B$11,OR("D3"&lt;&gt;"D4",$B$4=4),VALUE(RIGHT("D3",1))&lt;=$B$4),INDEX('路线模块库'!$J$6:$J$29,MATCH("D3-1",'匹配计算'!$L$6:$L$29,0)),"")</x:f>
        <x:v>从车内记录高架、沿江、曲线和不同地面。</x:v>
      </x:c>
      <x:c r="I23" s="103" t="n">
        <x:f>IF(AND(1&lt;=$B$11,OR("D3"&lt;&gt;"D4",$B$4=4),VALUE(RIGHT("D3",1))&lt;=$B$4),INDEX('路线模块库'!$K$6:$K$29,MATCH("D3-1",'匹配计算'!$L$6:$L$29,0)),"")</x:f>
        <x:v>70</x:v>
      </x:c>
      <x:c r="J23" s="103" t="str">
        <x:f>IF(AND(1&lt;=$B$11,OR("D3"&lt;&gt;"D4",$B$4=4),VALUE(RIGHT("D3",1))&lt;=$B$4),INDEX('路线模块库'!$AN$6:$AN$29,MATCH("D3-1",'匹配计算'!$L$6:$L$29,0)),"")</x:f>
        <x:v>施工或人流较大时仍保留乘车体验，外部观景点可能调整。</x:v>
      </x:c>
    </x:row>
    <x:row r="24" ht="68" customHeight="1">
      <x:c r="A24" s="103" t="str">
        <x:f>IF(AND(2&lt;=$B$11,OR("D3"&lt;&gt;"D4",$B$4=4),VALUE(RIGHT("D3",1))&lt;=$B$4),"D3","")</x:f>
        <x:v>D3</x:v>
      </x:c>
      <x:c r="B24" s="103" t="n">
        <x:f>IF(AND(2&lt;=$B$11,OR("D3"&lt;&gt;"D4",$B$4=4),VALUE(RIGHT("D3",1))&lt;=$B$4),2,"")</x:f>
        <x:v>2</x:v>
      </x:c>
      <x:c r="C24" s="103" t="str">
        <x:f>IF(AND(2&lt;=$B$11,OR("D3"&lt;&gt;"D4",$B$4=4),VALUE(RIGHT("D3",1))&lt;=$B$4),INDEX('路线模块库'!$D$6:$D$29,MATCH("D3-2",'匹配计算'!$L$6:$L$29,0)),"")</x:f>
        <x:v>抗战陪都街区</x:v>
      </x:c>
      <x:c r="D24" s="103" t="str">
        <x:f>IF(AND(2&lt;=$B$11,OR("D3"&lt;&gt;"D4",$B$4=4),VALUE(RIGHT("D3",1))&lt;=$B$4),INDEX('路线模块库'!$G$6:$G$29,MATCH("D3-2",'匹配计算'!$L$6:$L$29,0)),"")</x:f>
        <x:v>中山四路：桂园—周公馆—特园</x:v>
      </x:c>
      <x:c r="E24" s="103" t="str">
        <x:f>IF(AND(2&lt;=$B$11,OR("D3"&lt;&gt;"D4",$B$4=4),VALUE(RIGHT("D3",1))&lt;=$B$4),INDEX('路线模块库'!$H$6:$H$29,MATCH("D3-2",'匹配计算'!$L$6:$L$29,0)),"")</x:f>
        <x:v>把政治、谈判、外交和文化活动放进一条可步行街道。</x:v>
      </x:c>
      <x:c r="F24" s="103" t="str">
        <x:f>IF(AND(2&lt;=$B$11,OR("D3"&lt;&gt;"D4",$B$4=4),VALUE(RIGHT("D3",1))&lt;=$B$4),IF(INDEX('匹配计算'!$W$6:$W$29,MATCH("D3-2",'匹配计算'!$L$6:$L$29,0))="视觉奇观","符合你想看到重庆不可替代立体城市感的目标。",IF(INDEX('匹配计算'!$W$6:$W$29,MATCH("D3-2",'匹配计算'!$L$6:$L$29,0))="历史理解","符合你想理解城市为何如此形成的目标。",IF(INDEX('匹配计算'!$W$6:$W$29,MATCH("D3-2",'匹配计算'!$L$6:$L$29,0))="在地生活","符合你不想只走网红打卡路线的偏好。",IF(INDEX('匹配计算'!$W$6:$W$29,MATCH("D3-2",'匹配计算'!$L$6:$L$29,0))="饮食互动","符合你希望通过饮食进入本地生活的偏好。",IF(INDEX('匹配计算'!$W$6:$W$29,MATCH("D3-2",'匹配计算'!$L$6:$L$29,0))="低摩擦","符合你重视节奏、少走冤枉路和确定性的需要。",IF(INDEX('匹配计算'!$W$6:$W$29,MATCH("D3-2",'匹配计算'!$L$6:$L$29,0))="摄影创作","符合你想获得更有内容的照片或视频素材的目标。",IF(INDEX('匹配计算'!$W$6:$W$29,MATCH("D3-2",'匹配计算'!$L$6:$L$29,0))="亲子教育","符合亲子共同观察和理解城市的需要。",IF(INDEX('匹配计算'!$W$6:$W$29,MATCH("D3-2",'匹配计算'!$L$6:$L$29,0))="复游新鲜感","符合你想避开重复经典、获得新鲜体验的需要。","符合本次行程的基础画像和城市主叙事。")))))))),"")</x:f>
        <x:v>符合你重视节奏、少走冤枉路和确定性的需要。</x:v>
      </x:c>
      <x:c r="G24" s="103" t="str">
        <x:f>IF(AND(2&lt;=$B$11,OR("D3"&lt;&gt;"D4",$B$4=4),VALUE(RIGHT("D3",1))&lt;=$B$4),INDEX('路线模块库'!$I$6:$I$29,MATCH("D3-2",'匹配计算'!$L$6:$L$29,0)),"")</x:f>
        <x:v>用关系和选择讲历史，不堆人物与年代。</x:v>
      </x:c>
      <x:c r="H24" s="103" t="str">
        <x:f>IF(AND(2&lt;=$B$11,OR("D3"&lt;&gt;"D4",$B$4=4),VALUE(RIGHT("D3",1))&lt;=$B$4),INDEX('路线模块库'!$J$6:$J$29,MATCH("D3-2",'匹配计算'!$L$6:$L$29,0)),"")</x:f>
        <x:v>比较住宅尺度与其承担的国际政治功能。</x:v>
      </x:c>
      <x:c r="I24" s="103" t="n">
        <x:f>IF(AND(2&lt;=$B$11,OR("D3"&lt;&gt;"D4",$B$4=4),VALUE(RIGHT("D3",1))&lt;=$B$4),INDEX('路线模块库'!$K$6:$K$29,MATCH("D3-2",'匹配计算'!$L$6:$L$29,0)),"")</x:f>
        <x:v>120</x:v>
      </x:c>
      <x:c r="J24" s="103" t="str">
        <x:f>IF(AND(2&lt;=$B$11,OR("D3"&lt;&gt;"D4",$B$4=4),VALUE(RIGHT("D3",1))&lt;=$B$4),INDEX('路线模块库'!$AN$6:$AN$29,MATCH("D3-2",'匹配计算'!$L$6:$L$29,0)),"")</x:f>
        <x:v>街区步行约两小时；会按兴趣控制政治史讲解比重。</x:v>
      </x:c>
    </x:row>
    <x:row r="25" ht="68" customHeight="1">
      <x:c r="A25" s="103" t="str">
        <x:f>IF(AND(3&lt;=$B$11,OR("D3"&lt;&gt;"D4",$B$4=4),VALUE(RIGHT("D3",1))&lt;=$B$4),"D3","")</x:f>
        <x:v>D3</x:v>
      </x:c>
      <x:c r="B25" s="103" t="n">
        <x:f>IF(AND(3&lt;=$B$11,OR("D3"&lt;&gt;"D4",$B$4=4),VALUE(RIGHT("D3",1))&lt;=$B$4),3,"")</x:f>
        <x:v>3</x:v>
      </x:c>
      <x:c r="C25" s="103" t="str">
        <x:f>IF(AND(3&lt;=$B$11,OR("D3"&lt;&gt;"D4",$B$4=4),VALUE(RIGHT("D3",1))&lt;=$B$4),INDEX('路线模块库'!$D$6:$D$29,MATCH("D3-3",'匹配计算'!$L$6:$L$29,0)),"")</x:f>
        <x:v>博物馆建立城市框架</x:v>
      </x:c>
      <x:c r="D25" s="103" t="str">
        <x:f>IF(AND(3&lt;=$B$11,OR("D3"&lt;&gt;"D4",$B$4=4),VALUE(RIGHT("D3",1))&lt;=$B$4),INDEX('路线模块库'!$G$6:$G$29,MATCH("D3-3",'匹配计算'!$L$6:$L$29,0)),"")</x:f>
        <x:v>三峡博物馆—人民大礼堂外观</x:v>
      </x:c>
      <x:c r="E25" s="103" t="str">
        <x:f>IF(AND(3&lt;=$B$11,OR("D3"&lt;&gt;"D4",$B$4=4),VALUE(RIGHT("D3",1))&lt;=$B$4),INDEX('路线模块库'!$H$6:$H$29,MATCH("D3-3",'匹配计算'!$L$6:$L$29,0)),"")</x:f>
        <x:v>用地形、移民、三峡和抗战四条线解释前两天看到的重庆。</x:v>
      </x:c>
      <x:c r="F25" s="103" t="str">
        <x:f>IF(AND(3&lt;=$B$11,OR("D3"&lt;&gt;"D4",$B$4=4),VALUE(RIGHT("D3",1))&lt;=$B$4),IF(INDEX('匹配计算'!$W$6:$W$29,MATCH("D3-3",'匹配计算'!$L$6:$L$29,0))="视觉奇观","符合你想看到重庆不可替代立体城市感的目标。",IF(INDEX('匹配计算'!$W$6:$W$29,MATCH("D3-3",'匹配计算'!$L$6:$L$29,0))="历史理解","符合你想理解城市为何如此形成的目标。",IF(INDEX('匹配计算'!$W$6:$W$29,MATCH("D3-3",'匹配计算'!$L$6:$L$29,0))="在地生活","符合你不想只走网红打卡路线的偏好。",IF(INDEX('匹配计算'!$W$6:$W$29,MATCH("D3-3",'匹配计算'!$L$6:$L$29,0))="饮食互动","符合你希望通过饮食进入本地生活的偏好。",IF(INDEX('匹配计算'!$W$6:$W$29,MATCH("D3-3",'匹配计算'!$L$6:$L$29,0))="低摩擦","符合你重视节奏、少走冤枉路和确定性的需要。",IF(INDEX('匹配计算'!$W$6:$W$29,MATCH("D3-3",'匹配计算'!$L$6:$L$29,0))="摄影创作","符合你想获得更有内容的照片或视频素材的目标。",IF(INDEX('匹配计算'!$W$6:$W$29,MATCH("D3-3",'匹配计算'!$L$6:$L$29,0))="亲子教育","符合亲子共同观察和理解城市的需要。",IF(INDEX('匹配计算'!$W$6:$W$29,MATCH("D3-3",'匹配计算'!$L$6:$L$29,0))="复游新鲜感","符合你想避开重复经典、获得新鲜体验的需要。","符合本次行程的基础画像和城市主叙事。")))))))),"")</x:f>
        <x:v>符合你重视节奏、少走冤枉路和确定性的需要。</x:v>
      </x:c>
      <x:c r="G25" s="103" t="str">
        <x:f>IF(AND(3&lt;=$B$11,OR("D3"&lt;&gt;"D4",$B$4=4),VALUE(RIGHT("D3",1))&lt;=$B$4),INDEX('路线模块库'!$I$6:$I$29,MATCH("D3-3",'匹配计算'!$L$6:$L$29,0)),"")</x:f>
        <x:v>博物馆只选与路线相关的展厅，不追求逛完。</x:v>
      </x:c>
      <x:c r="H25" s="103" t="str">
        <x:f>IF(AND(3&lt;=$B$11,OR("D3"&lt;&gt;"D4",$B$4=4),VALUE(RIGHT("D3",1))&lt;=$B$4),INDEX('路线模块库'!$J$6:$J$29,MATCH("D3-3",'匹配计算'!$L$6:$L$29,0)),"")</x:f>
        <x:v>说出三件离馆后更能理解的城市现象。</x:v>
      </x:c>
      <x:c r="I25" s="103" t="n">
        <x:f>IF(AND(3&lt;=$B$11,OR("D3"&lt;&gt;"D4",$B$4=4),VALUE(RIGHT("D3",1))&lt;=$B$4),INDEX('路线模块库'!$K$6:$K$29,MATCH("D3-3",'匹配计算'!$L$6:$L$29,0)),"")</x:f>
        <x:v>180</x:v>
      </x:c>
      <x:c r="J25" s="103" t="str">
        <x:f>IF(AND(3&lt;=$B$11,OR("D3"&lt;&gt;"D4",$B$4=4),VALUE(RIGHT("D3",1))&lt;=$B$4),INDEX('路线模块库'!$AN$6:$AN$29,MATCH("D3-3",'匹配计算'!$L$6:$L$29,0)),"")</x:f>
        <x:v>周一和临展调整可能影响开放，出发前会再次确认。</x:v>
      </x:c>
    </x:row>
    <x:row r="26" ht="68" customHeight="1">
      <x:c r="A26" s="103" t="str">
        <x:f>IF(AND(4&lt;=$B$11,OR("D3"&lt;&gt;"D4",$B$4=4),VALUE(RIGHT("D3",1))&lt;=$B$4),"D3","")</x:f>
      </x:c>
      <x:c r="B26" s="103" t="str">
        <x:f>IF(AND(4&lt;=$B$11,OR("D3"&lt;&gt;"D4",$B$4=4),VALUE(RIGHT("D3",1))&lt;=$B$4),4,"")</x:f>
      </x:c>
      <x:c r="C26" s="103" t="str">
        <x:f>IF(AND(4&lt;=$B$11,OR("D3"&lt;&gt;"D4",$B$4=4),VALUE(RIGHT("D3",1))&lt;=$B$4),INDEX('路线模块库'!$D$6:$D$29,MATCH("D3-4",'匹配计算'!$L$6:$L$29,0)),"")</x:f>
      </x:c>
      <x:c r="D26" s="103" t="str">
        <x:f>IF(AND(4&lt;=$B$11,OR("D3"&lt;&gt;"D4",$B$4=4),VALUE(RIGHT("D3",1))&lt;=$B$4),INDEX('路线模块库'!$G$6:$G$29,MATCH("D3-4",'匹配计算'!$L$6:$L$29,0)),"")</x:f>
      </x:c>
      <x:c r="E26" s="103" t="str">
        <x:f>IF(AND(4&lt;=$B$11,OR("D3"&lt;&gt;"D4",$B$4=4),VALUE(RIGHT("D3",1))&lt;=$B$4),INDEX('路线模块库'!$H$6:$H$29,MATCH("D3-4",'匹配计算'!$L$6:$L$29,0)),"")</x:f>
      </x:c>
      <x:c r="F26" s="103" t="str">
        <x:f>IF(AND(4&lt;=$B$11,OR("D3"&lt;&gt;"D4",$B$4=4),VALUE(RIGHT("D3",1))&lt;=$B$4),IF(INDEX('匹配计算'!$W$6:$W$29,MATCH("D3-4",'匹配计算'!$L$6:$L$29,0))="视觉奇观","符合你想看到重庆不可替代立体城市感的目标。",IF(INDEX('匹配计算'!$W$6:$W$29,MATCH("D3-4",'匹配计算'!$L$6:$L$29,0))="历史理解","符合你想理解城市为何如此形成的目标。",IF(INDEX('匹配计算'!$W$6:$W$29,MATCH("D3-4",'匹配计算'!$L$6:$L$29,0))="在地生活","符合你不想只走网红打卡路线的偏好。",IF(INDEX('匹配计算'!$W$6:$W$29,MATCH("D3-4",'匹配计算'!$L$6:$L$29,0))="饮食互动","符合你希望通过饮食进入本地生活的偏好。",IF(INDEX('匹配计算'!$W$6:$W$29,MATCH("D3-4",'匹配计算'!$L$6:$L$29,0))="低摩擦","符合你重视节奏、少走冤枉路和确定性的需要。",IF(INDEX('匹配计算'!$W$6:$W$29,MATCH("D3-4",'匹配计算'!$L$6:$L$29,0))="摄影创作","符合你想获得更有内容的照片或视频素材的目标。",IF(INDEX('匹配计算'!$W$6:$W$29,MATCH("D3-4",'匹配计算'!$L$6:$L$29,0))="亲子教育","符合亲子共同观察和理解城市的需要。",IF(INDEX('匹配计算'!$W$6:$W$29,MATCH("D3-4",'匹配计算'!$L$6:$L$29,0))="复游新鲜感","符合你想避开重复经典、获得新鲜体验的需要。","符合本次行程的基础画像和城市主叙事。")))))))),"")</x:f>
      </x:c>
      <x:c r="G26" s="103" t="str">
        <x:f>IF(AND(4&lt;=$B$11,OR("D3"&lt;&gt;"D4",$B$4=4),VALUE(RIGHT("D3",1))&lt;=$B$4),INDEX('路线模块库'!$I$6:$I$29,MATCH("D3-4",'匹配计算'!$L$6:$L$29,0)),"")</x:f>
      </x:c>
      <x:c r="H26" s="103" t="str">
        <x:f>IF(AND(4&lt;=$B$11,OR("D3"&lt;&gt;"D4",$B$4=4),VALUE(RIGHT("D3",1))&lt;=$B$4),INDEX('路线模块库'!$J$6:$J$29,MATCH("D3-4",'匹配计算'!$L$6:$L$29,0)),"")</x:f>
      </x:c>
      <x:c r="I26" s="103" t="str">
        <x:f>IF(AND(4&lt;=$B$11,OR("D3"&lt;&gt;"D4",$B$4=4),VALUE(RIGHT("D3",1))&lt;=$B$4),INDEX('路线模块库'!$K$6:$K$29,MATCH("D3-4",'匹配计算'!$L$6:$L$29,0)),"")</x:f>
      </x:c>
      <x:c r="J26" s="103" t="str">
        <x:f>IF(AND(4&lt;=$B$11,OR("D3"&lt;&gt;"D4",$B$4=4),VALUE(RIGHT("D3",1))&lt;=$B$4),INDEX('路线模块库'!$AN$6:$AN$29,MATCH("D3-4",'匹配计算'!$L$6:$L$29,0)),"")</x:f>
      </x:c>
    </x:row>
    <x:row r="27" ht="68" customHeight="1">
      <x:c r="A27" s="106" t="str">
        <x:f>IF(AND(1&lt;=$B$11,OR("D4"&lt;&gt;"D4",$B$4=4),VALUE(RIGHT("D4",1))&lt;=$B$4),"D4","")</x:f>
      </x:c>
      <x:c r="B27" s="106" t="str">
        <x:f>IF(AND(1&lt;=$B$11,OR("D4"&lt;&gt;"D4",$B$4=4),VALUE(RIGHT("D4",1))&lt;=$B$4),1,"")</x:f>
      </x:c>
      <x:c r="C27" s="106" t="str">
        <x:f>IF(AND(1&lt;=$B$11,OR("D4"&lt;&gt;"D4",$B$4=4),VALUE(RIGHT("D4",1))&lt;=$B$4),INDEX('路线模块库'!$D$6:$D$29,MATCH("D4-1",'匹配计算'!$L$6:$L$29,0)),"")</x:f>
      </x:c>
      <x:c r="D27" s="106" t="str">
        <x:f>IF(AND(1&lt;=$B$11,OR("D4"&lt;&gt;"D4",$B$4=4),VALUE(RIGHT("D4",1))&lt;=$B$4),INDEX('路线模块库'!$G$6:$G$29,MATCH("D4-1",'匹配计算'!$L$6:$L$29,0)),"")</x:f>
      </x:c>
      <x:c r="E27" s="106" t="str">
        <x:f>IF(AND(1&lt;=$B$11,OR("D4"&lt;&gt;"D4",$B$4=4),VALUE(RIGHT("D4",1))&lt;=$B$4),INDEX('路线模块库'!$H$6:$H$29,MATCH("D4-1",'匹配计算'!$L$6:$L$29,0)),"")</x:f>
      </x:c>
      <x:c r="F27" s="106" t="str">
        <x:f>IF(AND(1&lt;=$B$11,OR("D4"&lt;&gt;"D4",$B$4=4),VALUE(RIGHT("D4",1))&lt;=$B$4),IF(INDEX('匹配计算'!$W$6:$W$29,MATCH("D4-1",'匹配计算'!$L$6:$L$29,0))="视觉奇观","符合你想看到重庆不可替代立体城市感的目标。",IF(INDEX('匹配计算'!$W$6:$W$29,MATCH("D4-1",'匹配计算'!$L$6:$L$29,0))="历史理解","符合你想理解城市为何如此形成的目标。",IF(INDEX('匹配计算'!$W$6:$W$29,MATCH("D4-1",'匹配计算'!$L$6:$L$29,0))="在地生活","符合你不想只走网红打卡路线的偏好。",IF(INDEX('匹配计算'!$W$6:$W$29,MATCH("D4-1",'匹配计算'!$L$6:$L$29,0))="饮食互动","符合你希望通过饮食进入本地生活的偏好。",IF(INDEX('匹配计算'!$W$6:$W$29,MATCH("D4-1",'匹配计算'!$L$6:$L$29,0))="低摩擦","符合你重视节奏、少走冤枉路和确定性的需要。",IF(INDEX('匹配计算'!$W$6:$W$29,MATCH("D4-1",'匹配计算'!$L$6:$L$29,0))="摄影创作","符合你想获得更有内容的照片或视频素材的目标。",IF(INDEX('匹配计算'!$W$6:$W$29,MATCH("D4-1",'匹配计算'!$L$6:$L$29,0))="亲子教育","符合亲子共同观察和理解城市的需要。",IF(INDEX('匹配计算'!$W$6:$W$29,MATCH("D4-1",'匹配计算'!$L$6:$L$29,0))="复游新鲜感","符合你想避开重复经典、获得新鲜体验的需要。","符合本次行程的基础画像和城市主叙事。")))))))),"")</x:f>
      </x:c>
      <x:c r="G27" s="106" t="str">
        <x:f>IF(AND(1&lt;=$B$11,OR("D4"&lt;&gt;"D4",$B$4=4),VALUE(RIGHT("D4",1))&lt;=$B$4),INDEX('路线模块库'!$I$6:$I$29,MATCH("D4-1",'匹配计算'!$L$6:$L$29,0)),"")</x:f>
      </x:c>
      <x:c r="H27" s="106" t="str">
        <x:f>IF(AND(1&lt;=$B$11,OR("D4"&lt;&gt;"D4",$B$4=4),VALUE(RIGHT("D4",1))&lt;=$B$4),INDEX('路线模块库'!$J$6:$J$29,MATCH("D4-1",'匹配计算'!$L$6:$L$29,0)),"")</x:f>
      </x:c>
      <x:c r="I27" s="106" t="str">
        <x:f>IF(AND(1&lt;=$B$11,OR("D4"&lt;&gt;"D4",$B$4=4),VALUE(RIGHT("D4",1))&lt;=$B$4),INDEX('路线模块库'!$K$6:$K$29,MATCH("D4-1",'匹配计算'!$L$6:$L$29,0)),"")</x:f>
      </x:c>
      <x:c r="J27" s="106" t="str">
        <x:f>IF(AND(1&lt;=$B$11,OR("D4"&lt;&gt;"D4",$B$4=4),VALUE(RIGHT("D4",1))&lt;=$B$4),INDEX('路线模块库'!$AN$6:$AN$29,MATCH("D4-1",'匹配计算'!$L$6:$L$29,0)),"")</x:f>
      </x:c>
    </x:row>
    <x:row r="28" ht="68" customHeight="1">
      <x:c r="A28" s="106" t="str">
        <x:f>IF(AND(2&lt;=$B$11,OR("D4"&lt;&gt;"D4",$B$4=4),VALUE(RIGHT("D4",1))&lt;=$B$4),"D4","")</x:f>
      </x:c>
      <x:c r="B28" s="106" t="str">
        <x:f>IF(AND(2&lt;=$B$11,OR("D4"&lt;&gt;"D4",$B$4=4),VALUE(RIGHT("D4",1))&lt;=$B$4),2,"")</x:f>
      </x:c>
      <x:c r="C28" s="106" t="str">
        <x:f>IF(AND(2&lt;=$B$11,OR("D4"&lt;&gt;"D4",$B$4=4),VALUE(RIGHT("D4",1))&lt;=$B$4),INDEX('路线模块库'!$D$6:$D$29,MATCH("D4-2",'匹配计算'!$L$6:$L$29,0)),"")</x:f>
      </x:c>
      <x:c r="D28" s="106" t="str">
        <x:f>IF(AND(2&lt;=$B$11,OR("D4"&lt;&gt;"D4",$B$4=4),VALUE(RIGHT("D4",1))&lt;=$B$4),INDEX('路线模块库'!$G$6:$G$29,MATCH("D4-2",'匹配计算'!$L$6:$L$29,0)),"")</x:f>
      </x:c>
      <x:c r="E28" s="106" t="str">
        <x:f>IF(AND(2&lt;=$B$11,OR("D4"&lt;&gt;"D4",$B$4=4),VALUE(RIGHT("D4",1))&lt;=$B$4),INDEX('路线模块库'!$H$6:$H$29,MATCH("D4-2",'匹配计算'!$L$6:$L$29,0)),"")</x:f>
      </x:c>
      <x:c r="F28" s="106" t="str">
        <x:f>IF(AND(2&lt;=$B$11,OR("D4"&lt;&gt;"D4",$B$4=4),VALUE(RIGHT("D4",1))&lt;=$B$4),IF(INDEX('匹配计算'!$W$6:$W$29,MATCH("D4-2",'匹配计算'!$L$6:$L$29,0))="视觉奇观","符合你想看到重庆不可替代立体城市感的目标。",IF(INDEX('匹配计算'!$W$6:$W$29,MATCH("D4-2",'匹配计算'!$L$6:$L$29,0))="历史理解","符合你想理解城市为何如此形成的目标。",IF(INDEX('匹配计算'!$W$6:$W$29,MATCH("D4-2",'匹配计算'!$L$6:$L$29,0))="在地生活","符合你不想只走网红打卡路线的偏好。",IF(INDEX('匹配计算'!$W$6:$W$29,MATCH("D4-2",'匹配计算'!$L$6:$L$29,0))="饮食互动","符合你希望通过饮食进入本地生活的偏好。",IF(INDEX('匹配计算'!$W$6:$W$29,MATCH("D4-2",'匹配计算'!$L$6:$L$29,0))="低摩擦","符合你重视节奏、少走冤枉路和确定性的需要。",IF(INDEX('匹配计算'!$W$6:$W$29,MATCH("D4-2",'匹配计算'!$L$6:$L$29,0))="摄影创作","符合你想获得更有内容的照片或视频素材的目标。",IF(INDEX('匹配计算'!$W$6:$W$29,MATCH("D4-2",'匹配计算'!$L$6:$L$29,0))="亲子教育","符合亲子共同观察和理解城市的需要。",IF(INDEX('匹配计算'!$W$6:$W$29,MATCH("D4-2",'匹配计算'!$L$6:$L$29,0))="复游新鲜感","符合你想避开重复经典、获得新鲜体验的需要。","符合本次行程的基础画像和城市主叙事。")))))))),"")</x:f>
      </x:c>
      <x:c r="G28" s="106" t="str">
        <x:f>IF(AND(2&lt;=$B$11,OR("D4"&lt;&gt;"D4",$B$4=4),VALUE(RIGHT("D4",1))&lt;=$B$4),INDEX('路线模块库'!$I$6:$I$29,MATCH("D4-2",'匹配计算'!$L$6:$L$29,0)),"")</x:f>
      </x:c>
      <x:c r="H28" s="106" t="str">
        <x:f>IF(AND(2&lt;=$B$11,OR("D4"&lt;&gt;"D4",$B$4=4),VALUE(RIGHT("D4",1))&lt;=$B$4),INDEX('路线模块库'!$J$6:$J$29,MATCH("D4-2",'匹配计算'!$L$6:$L$29,0)),"")</x:f>
      </x:c>
      <x:c r="I28" s="106" t="str">
        <x:f>IF(AND(2&lt;=$B$11,OR("D4"&lt;&gt;"D4",$B$4=4),VALUE(RIGHT("D4",1))&lt;=$B$4),INDEX('路线模块库'!$K$6:$K$29,MATCH("D4-2",'匹配计算'!$L$6:$L$29,0)),"")</x:f>
      </x:c>
      <x:c r="J28" s="106" t="str">
        <x:f>IF(AND(2&lt;=$B$11,OR("D4"&lt;&gt;"D4",$B$4=4),VALUE(RIGHT("D4",1))&lt;=$B$4),INDEX('路线模块库'!$AN$6:$AN$29,MATCH("D4-2",'匹配计算'!$L$6:$L$29,0)),"")</x:f>
      </x:c>
    </x:row>
    <x:row r="29" ht="68" customHeight="1">
      <x:c r="A29" s="106" t="str">
        <x:f>IF(AND(3&lt;=$B$11,OR("D4"&lt;&gt;"D4",$B$4=4),VALUE(RIGHT("D4",1))&lt;=$B$4),"D4","")</x:f>
      </x:c>
      <x:c r="B29" s="106" t="str">
        <x:f>IF(AND(3&lt;=$B$11,OR("D4"&lt;&gt;"D4",$B$4=4),VALUE(RIGHT("D4",1))&lt;=$B$4),3,"")</x:f>
      </x:c>
      <x:c r="C29" s="106" t="str">
        <x:f>IF(AND(3&lt;=$B$11,OR("D4"&lt;&gt;"D4",$B$4=4),VALUE(RIGHT("D4",1))&lt;=$B$4),INDEX('路线模块库'!$D$6:$D$29,MATCH("D4-3",'匹配计算'!$L$6:$L$29,0)),"")</x:f>
      </x:c>
      <x:c r="D29" s="106" t="str">
        <x:f>IF(AND(3&lt;=$B$11,OR("D4"&lt;&gt;"D4",$B$4=4),VALUE(RIGHT("D4",1))&lt;=$B$4),INDEX('路线模块库'!$G$6:$G$29,MATCH("D4-3",'匹配计算'!$L$6:$L$29,0)),"")</x:f>
      </x:c>
      <x:c r="E29" s="106" t="str">
        <x:f>IF(AND(3&lt;=$B$11,OR("D4"&lt;&gt;"D4",$B$4=4),VALUE(RIGHT("D4",1))&lt;=$B$4),INDEX('路线模块库'!$H$6:$H$29,MATCH("D4-3",'匹配计算'!$L$6:$L$29,0)),"")</x:f>
      </x:c>
      <x:c r="F29" s="106" t="str">
        <x:f>IF(AND(3&lt;=$B$11,OR("D4"&lt;&gt;"D4",$B$4=4),VALUE(RIGHT("D4",1))&lt;=$B$4),IF(INDEX('匹配计算'!$W$6:$W$29,MATCH("D4-3",'匹配计算'!$L$6:$L$29,0))="视觉奇观","符合你想看到重庆不可替代立体城市感的目标。",IF(INDEX('匹配计算'!$W$6:$W$29,MATCH("D4-3",'匹配计算'!$L$6:$L$29,0))="历史理解","符合你想理解城市为何如此形成的目标。",IF(INDEX('匹配计算'!$W$6:$W$29,MATCH("D4-3",'匹配计算'!$L$6:$L$29,0))="在地生活","符合你不想只走网红打卡路线的偏好。",IF(INDEX('匹配计算'!$W$6:$W$29,MATCH("D4-3",'匹配计算'!$L$6:$L$29,0))="饮食互动","符合你希望通过饮食进入本地生活的偏好。",IF(INDEX('匹配计算'!$W$6:$W$29,MATCH("D4-3",'匹配计算'!$L$6:$L$29,0))="低摩擦","符合你重视节奏、少走冤枉路和确定性的需要。",IF(INDEX('匹配计算'!$W$6:$W$29,MATCH("D4-3",'匹配计算'!$L$6:$L$29,0))="摄影创作","符合你想获得更有内容的照片或视频素材的目标。",IF(INDEX('匹配计算'!$W$6:$W$29,MATCH("D4-3",'匹配计算'!$L$6:$L$29,0))="亲子教育","符合亲子共同观察和理解城市的需要。",IF(INDEX('匹配计算'!$W$6:$W$29,MATCH("D4-3",'匹配计算'!$L$6:$L$29,0))="复游新鲜感","符合你想避开重复经典、获得新鲜体验的需要。","符合本次行程的基础画像和城市主叙事。")))))))),"")</x:f>
      </x:c>
      <x:c r="G29" s="106" t="str">
        <x:f>IF(AND(3&lt;=$B$11,OR("D4"&lt;&gt;"D4",$B$4=4),VALUE(RIGHT("D4",1))&lt;=$B$4),INDEX('路线模块库'!$I$6:$I$29,MATCH("D4-3",'匹配计算'!$L$6:$L$29,0)),"")</x:f>
      </x:c>
      <x:c r="H29" s="106" t="str">
        <x:f>IF(AND(3&lt;=$B$11,OR("D4"&lt;&gt;"D4",$B$4=4),VALUE(RIGHT("D4",1))&lt;=$B$4),INDEX('路线模块库'!$J$6:$J$29,MATCH("D4-3",'匹配计算'!$L$6:$L$29,0)),"")</x:f>
      </x:c>
      <x:c r="I29" s="106" t="str">
        <x:f>IF(AND(3&lt;=$B$11,OR("D4"&lt;&gt;"D4",$B$4=4),VALUE(RIGHT("D4",1))&lt;=$B$4),INDEX('路线模块库'!$K$6:$K$29,MATCH("D4-3",'匹配计算'!$L$6:$L$29,0)),"")</x:f>
      </x:c>
      <x:c r="J29" s="106" t="str">
        <x:f>IF(AND(3&lt;=$B$11,OR("D4"&lt;&gt;"D4",$B$4=4),VALUE(RIGHT("D4",1))&lt;=$B$4),INDEX('路线模块库'!$AN$6:$AN$29,MATCH("D4-3",'匹配计算'!$L$6:$L$29,0)),"")</x:f>
      </x:c>
    </x:row>
    <x:row r="30" ht="68" customHeight="1">
      <x:c r="A30" s="106" t="str">
        <x:f>IF(AND(4&lt;=$B$11,OR("D4"&lt;&gt;"D4",$B$4=4),VALUE(RIGHT("D4",1))&lt;=$B$4),"D4","")</x:f>
      </x:c>
      <x:c r="B30" s="106" t="str">
        <x:f>IF(AND(4&lt;=$B$11,OR("D4"&lt;&gt;"D4",$B$4=4),VALUE(RIGHT("D4",1))&lt;=$B$4),4,"")</x:f>
      </x:c>
      <x:c r="C30" s="106" t="str">
        <x:f>IF(AND(4&lt;=$B$11,OR("D4"&lt;&gt;"D4",$B$4=4),VALUE(RIGHT("D4",1))&lt;=$B$4),INDEX('路线模块库'!$D$6:$D$29,MATCH("D4-4",'匹配计算'!$L$6:$L$29,0)),"")</x:f>
      </x:c>
      <x:c r="D30" s="106" t="str">
        <x:f>IF(AND(4&lt;=$B$11,OR("D4"&lt;&gt;"D4",$B$4=4),VALUE(RIGHT("D4",1))&lt;=$B$4),INDEX('路线模块库'!$G$6:$G$29,MATCH("D4-4",'匹配计算'!$L$6:$L$29,0)),"")</x:f>
      </x:c>
      <x:c r="E30" s="106" t="str">
        <x:f>IF(AND(4&lt;=$B$11,OR("D4"&lt;&gt;"D4",$B$4=4),VALUE(RIGHT("D4",1))&lt;=$B$4),INDEX('路线模块库'!$H$6:$H$29,MATCH("D4-4",'匹配计算'!$L$6:$L$29,0)),"")</x:f>
      </x:c>
      <x:c r="F30" s="106" t="str">
        <x:f>IF(AND(4&lt;=$B$11,OR("D4"&lt;&gt;"D4",$B$4=4),VALUE(RIGHT("D4",1))&lt;=$B$4),IF(INDEX('匹配计算'!$W$6:$W$29,MATCH("D4-4",'匹配计算'!$L$6:$L$29,0))="视觉奇观","符合你想看到重庆不可替代立体城市感的目标。",IF(INDEX('匹配计算'!$W$6:$W$29,MATCH("D4-4",'匹配计算'!$L$6:$L$29,0))="历史理解","符合你想理解城市为何如此形成的目标。",IF(INDEX('匹配计算'!$W$6:$W$29,MATCH("D4-4",'匹配计算'!$L$6:$L$29,0))="在地生活","符合你不想只走网红打卡路线的偏好。",IF(INDEX('匹配计算'!$W$6:$W$29,MATCH("D4-4",'匹配计算'!$L$6:$L$29,0))="饮食互动","符合你希望通过饮食进入本地生活的偏好。",IF(INDEX('匹配计算'!$W$6:$W$29,MATCH("D4-4",'匹配计算'!$L$6:$L$29,0))="低摩擦","符合你重视节奏、少走冤枉路和确定性的需要。",IF(INDEX('匹配计算'!$W$6:$W$29,MATCH("D4-4",'匹配计算'!$L$6:$L$29,0))="摄影创作","符合你想获得更有内容的照片或视频素材的目标。",IF(INDEX('匹配计算'!$W$6:$W$29,MATCH("D4-4",'匹配计算'!$L$6:$L$29,0))="亲子教育","符合亲子共同观察和理解城市的需要。",IF(INDEX('匹配计算'!$W$6:$W$29,MATCH("D4-4",'匹配计算'!$L$6:$L$29,0))="复游新鲜感","符合你想避开重复经典、获得新鲜体验的需要。","符合本次行程的基础画像和城市主叙事。")))))))),"")</x:f>
      </x:c>
      <x:c r="G30" s="106" t="str">
        <x:f>IF(AND(4&lt;=$B$11,OR("D4"&lt;&gt;"D4",$B$4=4),VALUE(RIGHT("D4",1))&lt;=$B$4),INDEX('路线模块库'!$I$6:$I$29,MATCH("D4-4",'匹配计算'!$L$6:$L$29,0)),"")</x:f>
      </x:c>
      <x:c r="H30" s="106" t="str">
        <x:f>IF(AND(4&lt;=$B$11,OR("D4"&lt;&gt;"D4",$B$4=4),VALUE(RIGHT("D4",1))&lt;=$B$4),INDEX('路线模块库'!$J$6:$J$29,MATCH("D4-4",'匹配计算'!$L$6:$L$29,0)),"")</x:f>
      </x:c>
      <x:c r="I30" s="106" t="str">
        <x:f>IF(AND(4&lt;=$B$11,OR("D4"&lt;&gt;"D4",$B$4=4),VALUE(RIGHT("D4",1))&lt;=$B$4),INDEX('路线模块库'!$K$6:$K$29,MATCH("D4-4",'匹配计算'!$L$6:$L$29,0)),"")</x:f>
      </x:c>
      <x:c r="J30" s="106" t="str">
        <x:f>IF(AND(4&lt;=$B$11,OR("D4"&lt;&gt;"D4",$B$4=4),VALUE(RIGHT("D4",1))&lt;=$B$4),INDEX('路线模块库'!$AN$6:$AN$29,MATCH("D4-4",'匹配计算'!$L$6:$L$29,0)),"")</x:f>
      </x:c>
    </x:row>
  </x:sheetData>
  <x:mergeCells>
    <x:mergeCell ref="A1:J1"/>
    <x:mergeCell ref="A2:J2"/>
    <x:mergeCell ref="C4:J4"/>
    <x:mergeCell ref="C5:J5"/>
    <x:mergeCell ref="C6:J6"/>
    <x:mergeCell ref="C7:J7"/>
    <x:mergeCell ref="C8:J8"/>
    <x:mergeCell ref="C9:J9"/>
    <x:mergeCell ref="D11:J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9" hidden="0" customWidth="1"/>
    <x:col min="3" max="3" width="14" hidden="0" customWidth="1"/>
    <x:col min="4" max="4" width="24" hidden="0" customWidth="1"/>
    <x:col min="5" max="5" width="19" hidden="0" customWidth="1"/>
    <x:col min="6" max="6" width="19" hidden="0" customWidth="1"/>
    <x:col min="7" max="7" width="29" hidden="0" customWidth="1"/>
    <x:col min="8" max="8" width="37" hidden="0" customWidth="1"/>
    <x:col min="9" max="9" width="37" hidden="0" customWidth="1"/>
    <x:col min="10" max="10" width="31" hidden="0" customWidth="1"/>
    <x:col min="11" max="11" width="12" hidden="0" customWidth="1"/>
    <x:col min="12" max="12" width="10" hidden="0" customWidth="1"/>
    <x:col min="13" max="13" width="12" hidden="0" customWidth="1"/>
    <x:col min="14" max="14" width="12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2" hidden="0" customWidth="1"/>
    <x:col min="23" max="23" width="17" hidden="0" customWidth="1"/>
    <x:col min="24" max="24" width="14" hidden="0" customWidth="1"/>
    <x:col min="25" max="25" width="34" hidden="0" customWidth="1"/>
    <x:col min="26" max="26" width="34" hidden="0" customWidth="1"/>
    <x:col min="27" max="27" width="38" hidden="0" customWidth="1"/>
    <x:col min="28" max="28" width="38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2" hidden="0" customWidth="1"/>
    <x:col min="37" max="37" width="38" hidden="0" customWidth="1"/>
    <x:col min="38" max="38" width="34" hidden="0" customWidth="1"/>
    <x:col min="39" max="39" width="44" hidden="0" customWidth="1"/>
    <x:col min="40" max="40" width="40" hidden="0" customWidth="1"/>
  </x:cols>
  <x:sheetData>
    <x:row r="1" ht="32" customHeight="1">
      <x:c r="A1" s="3" t="str">
        <x:v>重庆主城｜路线模块库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</x:row>
    <x:row r="2" ht="30" customHeight="1">
      <x:c r="A2" s="7" t="str">
        <x:v>模块才是游客输出的基本单位。一个模块只承担一个核心解释，并绑定节点、观察任务、时长、风险和删减规则。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</x:row>
    <x:row r="5" ht="34" customHeight="1">
      <x:c r="A5" s="11" t="str">
        <x:v>模块ID</x:v>
      </x:c>
      <x:c r="B5" s="11" t="str">
        <x:v>默认日</x:v>
      </x:c>
      <x:c r="C5" s="11" t="str">
        <x:v>路线版本</x:v>
      </x:c>
      <x:c r="D5" s="11" t="str">
        <x:v>模块名称</x:v>
      </x:c>
      <x:c r="E5" s="11" t="str">
        <x:v>内容角色</x:v>
      </x:c>
      <x:c r="F5" s="11" t="str">
        <x:v>点位ID</x:v>
      </x:c>
      <x:c r="G5" s="11" t="str">
        <x:v>核心节点</x:v>
      </x:c>
      <x:c r="H5" s="11" t="str">
        <x:v>给游客的承诺</x:v>
      </x:c>
      <x:c r="I5" s="11" t="str">
        <x:v>只讲一个核心解释</x:v>
      </x:c>
      <x:c r="J5" s="11" t="str">
        <x:v>游客观察任务</x:v>
      </x:c>
      <x:c r="K5" s="11" t="str">
        <x:v>时长(分钟)</x:v>
      </x:c>
      <x:c r="L5" s="11" t="str">
        <x:v>体力1-3</x:v>
      </x:c>
      <x:c r="M5" s="11" t="str">
        <x:v>雨天适配1-3</x:v>
      </x:c>
      <x:c r="N5" s="11" t="str">
        <x:v>炎热适配1-3</x:v>
      </x:c>
      <x:c r="O5" s="11" t="str">
        <x:v>首次经典</x:v>
      </x:c>
      <x:c r="P5" s="11" t="str">
        <x:v>赛博摄影</x:v>
      </x:c>
      <x:c r="Q5" s="11" t="str">
        <x:v>文化历史</x:v>
      </x:c>
      <x:c r="R5" s="11" t="str">
        <x:v>美食生活</x:v>
      </x:c>
      <x:c r="S5" s="11" t="str">
        <x:v>亲子轻松</x:v>
      </x:c>
      <x:c r="T5" s="11" t="str">
        <x:v>复游客</x:v>
      </x:c>
      <x:c r="U5" s="11" t="str">
        <x:v>付费潜力</x:v>
      </x:c>
      <x:c r="V5" s="11" t="str">
        <x:v>基础优先分</x:v>
      </x:c>
      <x:c r="W5" s="11" t="str">
        <x:v>重复组</x:v>
      </x:c>
      <x:c r="X5" s="11" t="str">
        <x:v>默认状态</x:v>
      </x:c>
      <x:c r="Y5" s="11" t="str">
        <x:v>来源URL</x:v>
      </x:c>
      <x:c r="Z5" s="11" t="str">
        <x:v>内部删减规则</x:v>
      </x:c>
      <x:c r="AA5" s="11" t="str">
        <x:v>显性意图标签</x:v>
      </x:c>
      <x:c r="AB5" s="11" t="str">
        <x:v>潜在意图标签</x:v>
      </x:c>
      <x:c r="AC5" s="11" t="str">
        <x:v>视觉奇观</x:v>
      </x:c>
      <x:c r="AD5" s="11" t="str">
        <x:v>历史理解</x:v>
      </x:c>
      <x:c r="AE5" s="11" t="str">
        <x:v>在地生活</x:v>
      </x:c>
      <x:c r="AF5" s="11" t="str">
        <x:v>饮食互动</x:v>
      </x:c>
      <x:c r="AG5" s="11" t="str">
        <x:v>低摩擦</x:v>
      </x:c>
      <x:c r="AH5" s="11" t="str">
        <x:v>摄影创作</x:v>
      </x:c>
      <x:c r="AI5" s="11" t="str">
        <x:v>亲子教育</x:v>
      </x:c>
      <x:c r="AJ5" s="11" t="str">
        <x:v>复游新鲜感</x:v>
      </x:c>
      <x:c r="AK5" s="11" t="str">
        <x:v>禁止/降级条件</x:v>
      </x:c>
      <x:c r="AL5" s="11" t="str">
        <x:v>必须确认字段</x:v>
      </x:c>
      <x:c r="AM5" s="11" t="str">
        <x:v>智能体检索摘要</x:v>
      </x:c>
      <x:c r="AN5" s="11" t="str">
        <x:v>对客现实提醒</x:v>
      </x:c>
    </x:row>
    <x:row r="6" ht="64" customHeight="1">
      <x:c r="A6" s="19" t="str">
        <x:v>RM01</x:v>
      </x:c>
      <x:c r="B6" s="19" t="str">
        <x:v>D1</x:v>
      </x:c>
      <x:c r="C6" s="19" t="str">
        <x:v>核心</x:v>
      </x:c>
      <x:c r="D6" s="19" t="str">
        <x:v>城市坐标与宗教夹层</x:v>
      </x:c>
      <x:c r="E6" s="19" t="str">
        <x:v>核心解释</x:v>
      </x:c>
      <x:c r="F6" s="19" t="str">
        <x:v>CQ001|CQ002</x:v>
      </x:c>
      <x:c r="G6" s="19" t="str">
        <x:v>解放碑—罗汉寺</x:v>
      </x:c>
      <x:c r="H6" s="19" t="str">
        <x:v>先建立方向，再感受摩天楼夹缝中的宗教空间。</x:v>
      </x:c>
      <x:c r="I6" s="19" t="str">
        <x:v>重庆的奇观不是只有高楼，而是不同秩序并置。</x:v>
      </x:c>
      <x:c r="J6" s="19" t="str">
        <x:v>站在寺门内外比较声音、光线和步速。</x:v>
      </x:c>
      <x:c r="K6" s="22" t="n">
        <x:v>75</x:v>
      </x:c>
      <x:c r="L6" s="22" t="n">
        <x:v>1</x:v>
      </x:c>
      <x:c r="M6" s="22" t="n">
        <x:v>3</x:v>
      </x:c>
      <x:c r="N6" s="22" t="n">
        <x:v>3</x:v>
      </x:c>
      <x:c r="O6" s="22" t="n">
        <x:v>5</x:v>
      </x:c>
      <x:c r="P6" s="22" t="n">
        <x:v>3</x:v>
      </x:c>
      <x:c r="Q6" s="22" t="n">
        <x:v>3</x:v>
      </x:c>
      <x:c r="R6" s="22" t="n">
        <x:v>2</x:v>
      </x:c>
      <x:c r="S6" s="22" t="n">
        <x:v>4</x:v>
      </x:c>
      <x:c r="T6" s="22" t="n">
        <x:v>2</x:v>
      </x:c>
      <x:c r="U6" s="22" t="n">
        <x:v>3</x:v>
      </x:c>
      <x:c r="V6" s="22" t="n">
        <x:v>84</x:v>
      </x:c>
      <x:c r="W6" s="19" t="str">
        <x:v>城市定位</x:v>
      </x:c>
      <x:c r="X6" s="19" t="str">
        <x:v>条件保留</x:v>
      </x:c>
      <x:c r="Y6" s="19" t="str">
        <x:v>https://doi.org/10.17645/up.v7i4.5810</x:v>
      </x:c>
      <x:c r="Z6" s="19" t="str">
        <x:v>若行程不足48小时，可并入RM02简述</x:v>
      </x:c>
      <x:c r="AA6" s="19" t="str">
        <x:v>第一次来|解放碑|罗汉寺|城市定位</x:v>
      </x:c>
      <x:c r="AB6" s="19" t="str">
        <x:v>想先搞懂方向|不想只拍照</x:v>
      </x:c>
      <x:c r="AC6" s="22" t="n">
        <x:v>2</x:v>
      </x:c>
      <x:c r="AD6" s="22" t="n">
        <x:v>4</x:v>
      </x:c>
      <x:c r="AE6" s="22" t="n">
        <x:v>2</x:v>
      </x:c>
      <x:c r="AF6" s="22" t="n">
        <x:v>1</x:v>
      </x:c>
      <x:c r="AG6" s="22" t="n">
        <x:v>4</x:v>
      </x:c>
      <x:c r="AH6" s="22" t="n">
        <x:v>2</x:v>
      </x:c>
      <x:c r="AI6" s="22" t="n">
        <x:v>3</x:v>
      </x:c>
      <x:c r="AJ6" s="22" t="n">
        <x:v>2</x:v>
      </x:c>
      <x:c r="AK6" s="19" t="str">
        <x:v>行程极短时可并入下一模块</x:v>
      </x:c>
      <x:c r="AL6" s="19" t="str">
        <x:v>无</x:v>
      </x:c>
      <x:c r="AM6" s="19" t="str">
        <x:v>先建立城市坐标，再解释高楼与寺庙为何并置。</x:v>
      </x:c>
      <x:c r="AN6" s="19" t="str">
        <x:v>时间不足时可和下一段立体城市体验合并。</x:v>
      </x:c>
    </x:row>
    <x:row r="7" ht="64" customHeight="1">
      <x:c r="A7" s="20" t="str">
        <x:v>RM02</x:v>
      </x:c>
      <x:c r="B7" s="20" t="str">
        <x:v>D1</x:v>
      </x:c>
      <x:c r="C7" s="20" t="str">
        <x:v>核心</x:v>
      </x:c>
      <x:c r="D7" s="20" t="str">
        <x:v>多重地面实验</x:v>
      </x:c>
      <x:c r="E7" s="20" t="str">
        <x:v>引流钩子</x:v>
      </x:c>
      <x:c r="F7" s="20" t="str">
        <x:v>CQ003</x:v>
      </x:c>
      <x:c r="G7" s="20" t="str">
        <x:v>魁星楼与高差平台</x:v>
      </x:c>
      <x:c r="H7" s="20" t="str">
        <x:v>亲自验证“22层也是地面”，这是重庆最有效的第一记忆点。</x:v>
      </x:c>
      <x:c r="I7" s="20" t="str">
        <x:v>山地让城市拥有多个同时成立的地面。</x:v>
      </x:c>
      <x:c r="J7" s="20" t="str">
        <x:v>先猜楼层，再换一个出口验证。</x:v>
      </x:c>
      <x:c r="K7" s="23" t="n">
        <x:v>40</x:v>
      </x:c>
      <x:c r="L7" s="23" t="n">
        <x:v>1</x:v>
      </x:c>
      <x:c r="M7" s="23" t="n">
        <x:v>2</x:v>
      </x:c>
      <x:c r="N7" s="23" t="n">
        <x:v>3</x:v>
      </x:c>
      <x:c r="O7" s="23" t="n">
        <x:v>5</x:v>
      </x:c>
      <x:c r="P7" s="23" t="n">
        <x:v>5</x:v>
      </x:c>
      <x:c r="Q7" s="23" t="n">
        <x:v>3</x:v>
      </x:c>
      <x:c r="R7" s="23" t="n">
        <x:v>2</x:v>
      </x:c>
      <x:c r="S7" s="23" t="n">
        <x:v>4</x:v>
      </x:c>
      <x:c r="T7" s="23" t="n">
        <x:v>3</x:v>
      </x:c>
      <x:c r="U7" s="23" t="n">
        <x:v>4</x:v>
      </x:c>
      <x:c r="V7" s="23" t="n">
        <x:v>98</x:v>
      </x:c>
      <x:c r="W7" s="20" t="str">
        <x:v>立体空间</x:v>
      </x:c>
      <x:c r="X7" s="20" t="str">
        <x:v>必须输出</x:v>
      </x:c>
      <x:c r="Y7" s="20" t="str">
        <x:v>https://doi.org/10.17645/up.v7i4.5810</x:v>
      </x:c>
      <x:c r="Z7" s="20" t="str">
        <x:v>只拍照、不做楼层验证时价值减半</x:v>
      </x:c>
      <x:c r="AA7" s="20" t="str">
        <x:v>赛博朋克|立体城市|魁星楼|特别的城市感</x:v>
      </x:c>
      <x:c r="AB7" s="20" t="str">
        <x:v>想迅速获得震撼|想验证城市奇观</x:v>
      </x:c>
      <x:c r="AC7" s="23" t="n">
        <x:v>5</x:v>
      </x:c>
      <x:c r="AD7" s="23" t="n">
        <x:v>2</x:v>
      </x:c>
      <x:c r="AE7" s="23" t="n">
        <x:v>1</x:v>
      </x:c>
      <x:c r="AF7" s="23" t="n">
        <x:v>1</x:v>
      </x:c>
      <x:c r="AG7" s="23" t="n">
        <x:v>4</x:v>
      </x:c>
      <x:c r="AH7" s="23" t="n">
        <x:v>5</x:v>
      </x:c>
      <x:c r="AI7" s="23" t="n">
        <x:v>4</x:v>
      </x:c>
      <x:c r="AJ7" s="23" t="n">
        <x:v>3</x:v>
      </x:c>
      <x:c r="AK7" s="20" t="str">
        <x:v>严重恐高或不愿换乘楼层时降级</x:v>
      </x:c>
      <x:c r="AL7" s="20" t="str">
        <x:v>恐高程度</x:v>
      </x:c>
      <x:c r="AM7" s="20" t="str">
        <x:v>用一个可亲自验证的多重地面现象建立第一记忆点。</x:v>
      </x:c>
      <x:c r="AN7" s="20" t="str">
        <x:v>若有恐高请提前说明；现场不需要靠近边缘。</x:v>
      </x:c>
    </x:row>
    <x:row r="8" ht="64" customHeight="1">
      <x:c r="A8" s="20" t="str">
        <x:v>RM03</x:v>
      </x:c>
      <x:c r="B8" s="20" t="str">
        <x:v>D1</x:v>
      </x:c>
      <x:c r="C8" s="20" t="str">
        <x:v>核心</x:v>
      </x:c>
      <x:c r="D8" s="20" t="str">
        <x:v>两江门户</x:v>
      </x:c>
      <x:c r="E8" s="20" t="str">
        <x:v>核心解释</x:v>
      </x:c>
      <x:c r="F8" s="20" t="str">
        <x:v>CQ004</x:v>
      </x:c>
      <x:c r="G8" s="20" t="str">
        <x:v>朝天门—两江交汇</x:v>
      </x:c>
      <x:c r="H8" s="20" t="str">
        <x:v>从城市门户和两江方向理解重庆为什么生长在这里。</x:v>
      </x:c>
      <x:c r="I8" s="20" t="str">
        <x:v>朝天门首先是城门和码头，其次才是现代天际线。</x:v>
      </x:c>
      <x:c r="J8" s="20" t="str">
        <x:v>在江岸重建长江、嘉陵江和半岛方向。</x:v>
      </x:c>
      <x:c r="K8" s="23" t="n">
        <x:v>75</x:v>
      </x:c>
      <x:c r="L8" s="23" t="n">
        <x:v>2</x:v>
      </x:c>
      <x:c r="M8" s="23" t="n">
        <x:v>2</x:v>
      </x:c>
      <x:c r="N8" s="23" t="n">
        <x:v>2</x:v>
      </x:c>
      <x:c r="O8" s="23" t="n">
        <x:v>5</x:v>
      </x:c>
      <x:c r="P8" s="23" t="n">
        <x:v>4</x:v>
      </x:c>
      <x:c r="Q8" s="23" t="n">
        <x:v>5</x:v>
      </x:c>
      <x:c r="R8" s="23" t="n">
        <x:v>2</x:v>
      </x:c>
      <x:c r="S8" s="23" t="n">
        <x:v>4</x:v>
      </x:c>
      <x:c r="T8" s="23" t="n">
        <x:v>3</x:v>
      </x:c>
      <x:c r="U8" s="23" t="n">
        <x:v>4</x:v>
      </x:c>
      <x:c r="V8" s="23" t="n">
        <x:v>92</x:v>
      </x:c>
      <x:c r="W8" s="20" t="str">
        <x:v>两江门户</x:v>
      </x:c>
      <x:c r="X8" s="20" t="str">
        <x:v>必须输出</x:v>
      </x:c>
      <x:c r="Y8" s="20" t="str">
        <x:v>https://www.cq.gov.cn/ywdt/zwhd/qxdt/202009/t20200907_8628081.html</x:v>
      </x:c>
      <x:c r="Z8" s="20" t="str">
        <x:v>地下出口或江岸入口不稳定时缩短</x:v>
      </x:c>
      <x:c r="AA8" s="20" t="str">
        <x:v>朝天门|两江|来福士|城市起源</x:v>
      </x:c>
      <x:c r="AB8" s="20" t="str">
        <x:v>想知道重庆为什么长在这里|需要方向感</x:v>
      </x:c>
      <x:c r="AC8" s="23" t="n">
        <x:v>4</x:v>
      </x:c>
      <x:c r="AD8" s="23" t="n">
        <x:v>4</x:v>
      </x:c>
      <x:c r="AE8" s="23" t="n">
        <x:v>2</x:v>
      </x:c>
      <x:c r="AF8" s="23" t="n">
        <x:v>1</x:v>
      </x:c>
      <x:c r="AG8" s="23" t="n">
        <x:v>3</x:v>
      </x:c>
      <x:c r="AH8" s="23" t="n">
        <x:v>4</x:v>
      </x:c>
      <x:c r="AI8" s="23" t="n">
        <x:v>3</x:v>
      </x:c>
      <x:c r="AJ8" s="23" t="n">
        <x:v>2</x:v>
      </x:c>
      <x:c r="AK8" s="20" t="str">
        <x:v>江岸入口不稳或时间不足时缩短</x:v>
      </x:c>
      <x:c r="AL8" s="20" t="str">
        <x:v>步行与江岸可达性</x:v>
      </x:c>
      <x:c r="AM8" s="20" t="str">
        <x:v>用城门、码头和两江方向解释城市起点。</x:v>
      </x:c>
      <x:c r="AN8" s="20" t="str">
        <x:v>江岸入口和步行距离需按当天开放情况调整。</x:v>
      </x:c>
    </x:row>
    <x:row r="9" ht="64" customHeight="1">
      <x:c r="A9" s="20" t="str">
        <x:v>RM04</x:v>
      </x:c>
      <x:c r="B9" s="20" t="str">
        <x:v>D1</x:v>
      </x:c>
      <x:c r="C9" s="20" t="str">
        <x:v>核心</x:v>
      </x:c>
      <x:c r="D9" s="20" t="str">
        <x:v>夜景读图：不挤进洪崖洞</x:v>
      </x:c>
      <x:c r="E9" s="20" t="str">
        <x:v>引流钩子</x:v>
      </x:c>
      <x:c r="F9" s="20" t="str">
        <x:v>CQ005|CQ006|CQ007</x:v>
      </x:c>
      <x:c r="G9" s="20" t="str">
        <x:v>戴家巷—洪崖洞外观—大剧院江岸</x:v>
      </x:c>
      <x:c r="H9" s="20" t="str">
        <x:v>从对岸把桥、江、崖、楼群和灯光读成一张城市剖面。</x:v>
      </x:c>
      <x:c r="I9" s="20" t="str">
        <x:v>洪崖洞是视觉入口，不是必须逛完的内部商业综合体。</x:v>
      </x:c>
      <x:c r="J9" s="20" t="str">
        <x:v>指出当天走过的山脊、江岸和桥。</x:v>
      </x:c>
      <x:c r="K9" s="23" t="n">
        <x:v>150</x:v>
      </x:c>
      <x:c r="L9" s="23" t="n">
        <x:v>2</x:v>
      </x:c>
      <x:c r="M9" s="23" t="n">
        <x:v>2</x:v>
      </x:c>
      <x:c r="N9" s="23" t="n">
        <x:v>2</x:v>
      </x:c>
      <x:c r="O9" s="23" t="n">
        <x:v>5</x:v>
      </x:c>
      <x:c r="P9" s="23" t="n">
        <x:v>5</x:v>
      </x:c>
      <x:c r="Q9" s="23" t="n">
        <x:v>3</x:v>
      </x:c>
      <x:c r="R9" s="23" t="n">
        <x:v>3</x:v>
      </x:c>
      <x:c r="S9" s="23" t="n">
        <x:v>5</x:v>
      </x:c>
      <x:c r="T9" s="23" t="n">
        <x:v>3</x:v>
      </x:c>
      <x:c r="U9" s="23" t="n">
        <x:v>5</x:v>
      </x:c>
      <x:c r="V9" s="23" t="n">
        <x:v>100</x:v>
      </x:c>
      <x:c r="W9" s="20" t="str">
        <x:v>夜景/观景</x:v>
      </x:c>
      <x:c r="X9" s="20" t="str">
        <x:v>必须输出</x:v>
      </x:c>
      <x:c r="Y9" s="20" t="str">
        <x:v>https://www.cq.gov.cn/ywdt/jrcq/202605/t20260531_15716501_app.html</x:v>
      </x:c>
      <x:c r="Z9" s="20" t="str">
        <x:v>无人机无当日官方排期即删除；内部限时</x:v>
      </x:c>
      <x:c r="AA9" s="20" t="str">
        <x:v>洪崖洞|夜景|千厮门大桥|拍照</x:v>
      </x:c>
      <x:c r="AB9" s="20" t="str">
        <x:v>既要代表性照片又不想挤|担心踩网红坑</x:v>
      </x:c>
      <x:c r="AC9" s="23" t="n">
        <x:v>5</x:v>
      </x:c>
      <x:c r="AD9" s="23" t="n">
        <x:v>2</x:v>
      </x:c>
      <x:c r="AE9" s="23" t="n">
        <x:v>1</x:v>
      </x:c>
      <x:c r="AF9" s="23" t="n">
        <x:v>1</x:v>
      </x:c>
      <x:c r="AG9" s="23" t="n">
        <x:v>3</x:v>
      </x:c>
      <x:c r="AH9" s="23" t="n">
        <x:v>5</x:v>
      </x:c>
      <x:c r="AI9" s="23" t="n">
        <x:v>3</x:v>
      </x:c>
      <x:c r="AJ9" s="23" t="n">
        <x:v>2</x:v>
      </x:c>
      <x:c r="AK9" s="20" t="str">
        <x:v>雨雾、拥挤或灯光动态变化时改为条件输出</x:v>
      </x:c>
      <x:c r="AL9" s="20" t="str">
        <x:v>夜间结束时间|是否接受人流</x:v>
      </x:c>
      <x:c r="AM9" s="20" t="str">
        <x:v>从对岸读完整城市剖面，不把时间耗在内部商业空间。</x:v>
      </x:c>
      <x:c r="AN9" s="20" t="str">
        <x:v>夜间人流较大；灯光和无人机安排以当日官方信息为准。</x:v>
      </x:c>
    </x:row>
    <x:row r="10" ht="64" customHeight="1">
      <x:c r="A10" s="20" t="str">
        <x:v>RM05</x:v>
      </x:c>
      <x:c r="B10" s="20" t="str">
        <x:v>D1</x:v>
      </x:c>
      <x:c r="C10" s="20" t="str">
        <x:v>补充</x:v>
      </x:c>
      <x:c r="D10" s="20" t="str">
        <x:v>索道或两江游低体力替代</x:v>
      </x:c>
      <x:c r="E10" s="20" t="str">
        <x:v>条件体验</x:v>
      </x:c>
      <x:c r="F10" s="20" t="str">
        <x:v>CQ034|CQ035</x:v>
      </x:c>
      <x:c r="G10" s="20" t="str">
        <x:v>长江索道/重庆两江游</x:v>
      </x:c>
      <x:c r="H10" s="20" t="str">
        <x:v>用较少步行获得跨江或夜景体验。</x:v>
      </x:c>
      <x:c r="I10" s="20" t="str">
        <x:v>它们解决的是体力和视角，不是更深的城市理解。</x:v>
      </x:c>
      <x:c r="J10" s="20" t="str">
        <x:v>比较移动中与固定江岸的视角差异。</x:v>
      </x:c>
      <x:c r="K10" s="23" t="n">
        <x:v>90</x:v>
      </x:c>
      <x:c r="L10" s="23" t="n">
        <x:v>1</x:v>
      </x:c>
      <x:c r="M10" s="23" t="n">
        <x:v>2</x:v>
      </x:c>
      <x:c r="N10" s="23" t="n">
        <x:v>3</x:v>
      </x:c>
      <x:c r="O10" s="23" t="n">
        <x:v>3</x:v>
      </x:c>
      <x:c r="P10" s="23" t="n">
        <x:v>4</x:v>
      </x:c>
      <x:c r="Q10" s="23" t="n">
        <x:v>2</x:v>
      </x:c>
      <x:c r="R10" s="23" t="n">
        <x:v>2</x:v>
      </x:c>
      <x:c r="S10" s="23" t="n">
        <x:v>5</x:v>
      </x:c>
      <x:c r="T10" s="23" t="n">
        <x:v>2</x:v>
      </x:c>
      <x:c r="U10" s="23" t="n">
        <x:v>4</x:v>
      </x:c>
      <x:c r="V10" s="23" t="n">
        <x:v>58</x:v>
      </x:c>
      <x:c r="W10" s="20" t="str">
        <x:v>夜景/观景</x:v>
      </x:c>
      <x:c r="X10" s="20" t="str">
        <x:v>按条件</x:v>
      </x:c>
      <x:c r="Y10" s="20" t="str">
        <x:v>https://www.cqsuodao.com/zhangjiangsuodao.html</x:v>
      </x:c>
      <x:c r="Z10" s="20" t="str">
        <x:v>排队过长、天气差或已有RM04时优先删除</x:v>
      </x:c>
      <x:c r="AA10" s="20" t="str">
        <x:v>索道|游船|少走路|长辈</x:v>
      </x:c>
      <x:c r="AB10" s="20" t="str">
        <x:v>想降低体力消耗|需要舒适和确定性</x:v>
      </x:c>
      <x:c r="AC10" s="23" t="n">
        <x:v>4</x:v>
      </x:c>
      <x:c r="AD10" s="23" t="n">
        <x:v>1</x:v>
      </x:c>
      <x:c r="AE10" s="23" t="n">
        <x:v>1</x:v>
      </x:c>
      <x:c r="AF10" s="23" t="n">
        <x:v>1</x:v>
      </x:c>
      <x:c r="AG10" s="23" t="n">
        <x:v>5</x:v>
      </x:c>
      <x:c r="AH10" s="23" t="n">
        <x:v>4</x:v>
      </x:c>
      <x:c r="AI10" s="23" t="n">
        <x:v>4</x:v>
      </x:c>
      <x:c r="AJ10" s="23" t="n">
        <x:v>1</x:v>
      </x:c>
      <x:c r="AK10" s="20" t="str">
        <x:v>排队过长、天气差或已安排同类夜景时删除</x:v>
      </x:c>
      <x:c r="AL10" s="20" t="str">
        <x:v>排队容忍度|恐高</x:v>
      </x:c>
      <x:c r="AM10" s="20" t="str">
        <x:v>用移动视角换取低步行体验，但不冒充深度内容。</x:v>
      </x:c>
      <x:c r="AN10" s="20" t="str">
        <x:v>索道和游船可能排队，天气不佳时会改用固定江岸视角。</x:v>
      </x:c>
    </x:row>
    <x:row r="11" ht="64" customHeight="1">
      <x:c r="A11" s="20" t="str">
        <x:v>RM06</x:v>
      </x:c>
      <x:c r="B11" s="20" t="str">
        <x:v>D1</x:v>
      </x:c>
      <x:c r="C11" s="20" t="str">
        <x:v>补充</x:v>
      </x:c>
      <x:c r="D11" s="20" t="str">
        <x:v>本地年轻夜生活</x:v>
      </x:c>
      <x:c r="E11" s="20" t="str">
        <x:v>真实生活</x:v>
      </x:c>
      <x:c r="F11" s="20" t="str">
        <x:v>CQ037</x:v>
      </x:c>
      <x:c r="G11" s="20" t="str">
        <x:v>观音桥夜间消费区</x:v>
      </x:c>
      <x:c r="H11" s="20" t="str">
        <x:v>把游客区之外的年轻消费、餐饮和社交纳入城市体验。</x:v>
      </x:c>
      <x:c r="I11" s="20" t="str">
        <x:v>这不是历史景点，而是当代重庆人的夜间日常。</x:v>
      </x:c>
      <x:c r="J11" s="20" t="str">
        <x:v>观察不同街区人群、价格和停留方式。</x:v>
      </x:c>
      <x:c r="K11" s="23" t="n">
        <x:v>90</x:v>
      </x:c>
      <x:c r="L11" s="23" t="n">
        <x:v>1</x:v>
      </x:c>
      <x:c r="M11" s="23" t="n">
        <x:v>3</x:v>
      </x:c>
      <x:c r="N11" s="23" t="n">
        <x:v>3</x:v>
      </x:c>
      <x:c r="O11" s="23" t="n">
        <x:v>2</x:v>
      </x:c>
      <x:c r="P11" s="23" t="n">
        <x:v>3</x:v>
      </x:c>
      <x:c r="Q11" s="23" t="n">
        <x:v>1</x:v>
      </x:c>
      <x:c r="R11" s="23" t="n">
        <x:v>5</x:v>
      </x:c>
      <x:c r="S11" s="23" t="n">
        <x:v>2</x:v>
      </x:c>
      <x:c r="T11" s="23" t="n">
        <x:v>5</x:v>
      </x:c>
      <x:c r="U11" s="23" t="n">
        <x:v>3</x:v>
      </x:c>
      <x:c r="V11" s="23" t="n">
        <x:v>52</x:v>
      </x:c>
      <x:c r="W11" s="20" t="str">
        <x:v>夜生活</x:v>
      </x:c>
      <x:c r="X11" s="20" t="str">
        <x:v>按兴趣</x:v>
      </x:c>
      <x:c r="Y11" s="20" t="str">
        <x:v>https://www.reddit.com/r/travelchina/comments/1o74mfa/trip_report_for_chongqing_4_night_stay/</x:v>
      </x:c>
      <x:c r="Z11" s="20" t="str">
        <x:v>首次精简版删除；美食生活或复游客保留</x:v>
      </x:c>
      <x:c r="AA11" s="20" t="str">
        <x:v>夜生活|观音桥|年轻人|酒吧</x:v>
      </x:c>
      <x:c r="AB11" s="20" t="str">
        <x:v>想看本地年轻人的城市|不想只有游客区</x:v>
      </x:c>
      <x:c r="AC11" s="23" t="n">
        <x:v>2</x:v>
      </x:c>
      <x:c r="AD11" s="23" t="n">
        <x:v>1</x:v>
      </x:c>
      <x:c r="AE11" s="23" t="n">
        <x:v>5</x:v>
      </x:c>
      <x:c r="AF11" s="23" t="n">
        <x:v>4</x:v>
      </x:c>
      <x:c r="AG11" s="23" t="n">
        <x:v>4</x:v>
      </x:c>
      <x:c r="AH11" s="23" t="n">
        <x:v>3</x:v>
      </x:c>
      <x:c r="AI11" s="23" t="n">
        <x:v>1</x:v>
      </x:c>
      <x:c r="AJ11" s="23" t="n">
        <x:v>5</x:v>
      </x:c>
      <x:c r="AK11" s="20" t="str">
        <x:v>首次精简行程或带低龄儿童时删除</x:v>
      </x:c>
      <x:c r="AL11" s="20" t="str">
        <x:v>夜间安全边界|饮酒偏好</x:v>
      </x:c>
      <x:c r="AM11" s="20" t="str">
        <x:v>把当代消费与社交作为真实城市的一部分。</x:v>
      </x:c>
      <x:c r="AN11" s="20" t="str">
        <x:v>夜间结束时间、饮酒偏好和返程方式需要提前确认。</x:v>
      </x:c>
    </x:row>
    <x:row r="12" ht="64" customHeight="1">
      <x:c r="A12" s="20" t="str">
        <x:v>RM07</x:v>
      </x:c>
      <x:c r="B12" s="20" t="str">
        <x:v>D2</x:v>
      </x:c>
      <x:c r="C12" s="20" t="str">
        <x:v>核心</x:v>
      </x:c>
      <x:c r="D12" s="20" t="str">
        <x:v>移民母城与水路城门</x:v>
      </x:c>
      <x:c r="E12" s="20" t="str">
        <x:v>核心解释</x:v>
      </x:c>
      <x:c r="F12" s="20" t="str">
        <x:v>CQ008|CQ009</x:v>
      </x:c>
      <x:c r="G12" s="20" t="str">
        <x:v>湖广会馆—东水门</x:v>
      </x:c>
      <x:c r="H12" s="20" t="str">
        <x:v>从会馆、互助网络和水路入口理解重庆为什么是一座移民城市。</x:v>
      </x:c>
      <x:c r="I12" s="20" t="str">
        <x:v>会馆解决的是迁入者的商业、信仰和社会支持问题。</x:v>
      </x:c>
      <x:c r="J12" s="20" t="str">
        <x:v>比较会馆功能与城门地形。</x:v>
      </x:c>
      <x:c r="K12" s="23" t="n">
        <x:v>130</x:v>
      </x:c>
      <x:c r="L12" s="23" t="n">
        <x:v>2</x:v>
      </x:c>
      <x:c r="M12" s="23" t="n">
        <x:v>2</x:v>
      </x:c>
      <x:c r="N12" s="23" t="n">
        <x:v>2</x:v>
      </x:c>
      <x:c r="O12" s="23" t="n">
        <x:v>5</x:v>
      </x:c>
      <x:c r="P12" s="23" t="n">
        <x:v>2</x:v>
      </x:c>
      <x:c r="Q12" s="23" t="n">
        <x:v>5</x:v>
      </x:c>
      <x:c r="R12" s="23" t="n">
        <x:v>3</x:v>
      </x:c>
      <x:c r="S12" s="23" t="n">
        <x:v>4</x:v>
      </x:c>
      <x:c r="T12" s="23" t="n">
        <x:v>4</x:v>
      </x:c>
      <x:c r="U12" s="23" t="n">
        <x:v>5</x:v>
      </x:c>
      <x:c r="V12" s="23" t="n">
        <x:v>96</x:v>
      </x:c>
      <x:c r="W12" s="20" t="str">
        <x:v>移民/城门</x:v>
      </x:c>
      <x:c r="X12" s="20" t="str">
        <x:v>必须输出</x:v>
      </x:c>
      <x:c r="Y12" s="20" t="str">
        <x:v>https://whlyw.cq.gov.cn/zjwl/yzq/cqwlzy/zqwwzy/202405/t20240507_13182428.html</x:v>
      </x:c>
      <x:c r="Z12" s="20" t="str">
        <x:v>英文服务未核验时保留路线、压缩讲解承诺</x:v>
      </x:c>
      <x:c r="AA12" s="20" t="str">
        <x:v>湖广会馆|东水门|移民|城门</x:v>
      </x:c>
      <x:c r="AB12" s="20" t="str">
        <x:v>想理解重庆人从哪里来|喜欢城市史</x:v>
      </x:c>
      <x:c r="AC12" s="23" t="n">
        <x:v>3</x:v>
      </x:c>
      <x:c r="AD12" s="23" t="n">
        <x:v>5</x:v>
      </x:c>
      <x:c r="AE12" s="23" t="n">
        <x:v>3</x:v>
      </x:c>
      <x:c r="AF12" s="23" t="n">
        <x:v>1</x:v>
      </x:c>
      <x:c r="AG12" s="23" t="n">
        <x:v>3</x:v>
      </x:c>
      <x:c r="AH12" s="23" t="n">
        <x:v>3</x:v>
      </x:c>
      <x:c r="AI12" s="23" t="n">
        <x:v>4</x:v>
      </x:c>
      <x:c r="AJ12" s="23" t="n">
        <x:v>4</x:v>
      </x:c>
      <x:c r="AK12" s="20" t="str">
        <x:v>英语服务不足时减少场馆内承诺</x:v>
      </x:c>
      <x:c r="AL12" s="20" t="str">
        <x:v>历史兴趣深度|场馆开放</x:v>
      </x:c>
      <x:c r="AM12" s="20" t="str">
        <x:v>用会馆和水路城门讲迁入者如何建立社会网络。</x:v>
      </x:c>
      <x:c r="AN12" s="20" t="str">
        <x:v>场馆开放与英文服务需在出发前复核。</x:v>
      </x:c>
    </x:row>
    <x:row r="13" ht="64" customHeight="1">
      <x:c r="A13" s="20" t="str">
        <x:v>RM08</x:v>
      </x:c>
      <x:c r="B13" s="20" t="str">
        <x:v>D2</x:v>
      </x:c>
      <x:c r="C13" s="20" t="str">
        <x:v>补充</x:v>
      </x:c>
      <x:c r="D13" s="20" t="str">
        <x:v>下半城贸易与金融</x:v>
      </x:c>
      <x:c r="E13" s="20" t="str">
        <x:v>核心解释</x:v>
      </x:c>
      <x:c r="F13" s="20" t="str">
        <x:v>CQ010|CQ016</x:v>
      </x:c>
      <x:c r="G13" s="20" t="str">
        <x:v>白象街—金融历史博物馆</x:v>
      </x:c>
      <x:c r="H13" s="20" t="str">
        <x:v>把码头城市如何进入近代贸易和金融落到真实街区。</x:v>
      </x:c>
      <x:c r="I13" s="20" t="str">
        <x:v>不要把所有新旧建筑都讲成古迹。</x:v>
      </x:c>
      <x:c r="J13" s="20" t="str">
        <x:v>区分历史建筑、修复部分和新商业。</x:v>
      </x:c>
      <x:c r="K13" s="23" t="n">
        <x:v>95</x:v>
      </x:c>
      <x:c r="L13" s="23" t="n">
        <x:v>1</x:v>
      </x:c>
      <x:c r="M13" s="23" t="n">
        <x:v>3</x:v>
      </x:c>
      <x:c r="N13" s="23" t="n">
        <x:v>3</x:v>
      </x:c>
      <x:c r="O13" s="23" t="n">
        <x:v>3</x:v>
      </x:c>
      <x:c r="P13" s="23" t="n">
        <x:v>2</x:v>
      </x:c>
      <x:c r="Q13" s="23" t="n">
        <x:v>5</x:v>
      </x:c>
      <x:c r="R13" s="23" t="n">
        <x:v>2</x:v>
      </x:c>
      <x:c r="S13" s="23" t="n">
        <x:v>3</x:v>
      </x:c>
      <x:c r="T13" s="23" t="n">
        <x:v>4</x:v>
      </x:c>
      <x:c r="U13" s="23" t="n">
        <x:v>4</x:v>
      </x:c>
      <x:c r="V13" s="23" t="n">
        <x:v>68</x:v>
      </x:c>
      <x:c r="W13" s="20" t="str">
        <x:v>开埠/金融</x:v>
      </x:c>
      <x:c r="X13" s="20" t="str">
        <x:v>按兴趣</x:v>
      </x:c>
      <x:c r="Y13" s="20" t="str">
        <x:v>https://ghzrzyj.cq.gov.cn/ztlm_186/ghgb/zxgh/202507/P020250716371670706300.pdf</x:v>
      </x:c>
      <x:c r="Z13" s="20" t="str">
        <x:v>与D4A开埠主题重复时缩短</x:v>
      </x:c>
      <x:c r="AA13" s="20" t="str">
        <x:v>下半城|白象街|金融|开埠</x:v>
      </x:c>
      <x:c r="AB13" s="20" t="str">
        <x:v>不满足于热门景点|想理解贸易与更新</x:v>
      </x:c>
      <x:c r="AC13" s="23" t="n">
        <x:v>3</x:v>
      </x:c>
      <x:c r="AD13" s="23" t="n">
        <x:v>5</x:v>
      </x:c>
      <x:c r="AE13" s="23" t="n">
        <x:v>3</x:v>
      </x:c>
      <x:c r="AF13" s="23" t="n">
        <x:v>1</x:v>
      </x:c>
      <x:c r="AG13" s="23" t="n">
        <x:v>3</x:v>
      </x:c>
      <x:c r="AH13" s="23" t="n">
        <x:v>3</x:v>
      </x:c>
      <x:c r="AI13" s="23" t="n">
        <x:v>3</x:v>
      </x:c>
      <x:c r="AJ13" s="23" t="n">
        <x:v>5</x:v>
      </x:c>
      <x:c r="AK13" s="20" t="str">
        <x:v>与第四天开埠主题重复时压缩</x:v>
      </x:c>
      <x:c r="AL13" s="20" t="str">
        <x:v>是否已看过经典点</x:v>
      </x:c>
      <x:c r="AM13" s="20" t="str">
        <x:v>把码头、金融和新旧建筑放入同一条近代化线索。</x:v>
      </x:c>
      <x:c r="AN13" s="20" t="str">
        <x:v>部分建筑经过修复或更新，现场会明确区分历史遗存与新商业。</x:v>
      </x:c>
    </x:row>
    <x:row r="14" ht="64" customHeight="1">
      <x:c r="A14" s="20" t="str">
        <x:v>RM09</x:v>
      </x:c>
      <x:c r="B14" s="20" t="str">
        <x:v>D2</x:v>
      </x:c>
      <x:c r="C14" s="20" t="str">
        <x:v>补充</x:v>
      </x:c>
      <x:c r="D14" s="20" t="str">
        <x:v>住宅与公共边界</x:v>
      </x:c>
      <x:c r="E14" s="20" t="str">
        <x:v>真实生活</x:v>
      </x:c>
      <x:c r="F14" s="20" t="str">
        <x:v>CQ011</x:v>
      </x:c>
      <x:c r="G14" s="20" t="str">
        <x:v>白象居外围公共通道</x:v>
      </x:c>
      <x:c r="H14" s="20" t="str">
        <x:v>理解住宅如何参与城市连接，同时学习不把居民生活当布景。</x:v>
      </x:c>
      <x:c r="I14" s="20" t="str">
        <x:v>深度旅游首先要能识别公共空间和私人边界。</x:v>
      </x:c>
      <x:c r="J14" s="20" t="str">
        <x:v>只走确认的公共通道，不进入居民私域。</x:v>
      </x:c>
      <x:c r="K14" s="23" t="n">
        <x:v>35</x:v>
      </x:c>
      <x:c r="L14" s="23" t="n">
        <x:v>2</x:v>
      </x:c>
      <x:c r="M14" s="23" t="n">
        <x:v>1</x:v>
      </x:c>
      <x:c r="N14" s="23" t="n">
        <x:v>2</x:v>
      </x:c>
      <x:c r="O14" s="23" t="n">
        <x:v>2</x:v>
      </x:c>
      <x:c r="P14" s="23" t="n">
        <x:v>5</x:v>
      </x:c>
      <x:c r="Q14" s="23" t="n">
        <x:v>2</x:v>
      </x:c>
      <x:c r="R14" s="23" t="n">
        <x:v>3</x:v>
      </x:c>
      <x:c r="S14" s="23" t="n">
        <x:v>1</x:v>
      </x:c>
      <x:c r="T14" s="23" t="n">
        <x:v>5</x:v>
      </x:c>
      <x:c r="U14" s="23" t="n">
        <x:v>3</x:v>
      </x:c>
      <x:c r="V14" s="23" t="n">
        <x:v>38</x:v>
      </x:c>
      <x:c r="W14" s="20" t="str">
        <x:v>社区/住宅</x:v>
      </x:c>
      <x:c r="X14" s="20" t="str">
        <x:v>严格条件</x:v>
      </x:c>
      <x:c r="Y14" s="20" t="str">
        <x:v>https://eprints.whiterose.ac.uk/id/eprint/185301/</x:v>
      </x:c>
      <x:c r="Z14" s="20" t="str">
        <x:v>无法确认公共边界、消防或拍摄规则即删除</x:v>
      </x:c>
      <x:c r="AA14" s="20" t="str">
        <x:v>白象居|居民楼|本地生活|小众</x:v>
      </x:c>
      <x:c r="AB14" s="20" t="str">
        <x:v>想进入真实社区|想拍居民空间</x:v>
      </x:c>
      <x:c r="AC14" s="23" t="n">
        <x:v>2</x:v>
      </x:c>
      <x:c r="AD14" s="23" t="n">
        <x:v>2</x:v>
      </x:c>
      <x:c r="AE14" s="23" t="n">
        <x:v>5</x:v>
      </x:c>
      <x:c r="AF14" s="23" t="n">
        <x:v>1</x:v>
      </x:c>
      <x:c r="AG14" s="23" t="n">
        <x:v>2</x:v>
      </x:c>
      <x:c r="AH14" s="23" t="n">
        <x:v>3</x:v>
      </x:c>
      <x:c r="AI14" s="23" t="n">
        <x:v>1</x:v>
      </x:c>
      <x:c r="AJ14" s="23" t="n">
        <x:v>5</x:v>
      </x:c>
      <x:c r="AK14" s="20" t="str">
        <x:v>公共边界、消防或拍摄规则不清时删除</x:v>
      </x:c>
      <x:c r="AL14" s="20" t="str">
        <x:v>是否拍摄|是否接受不进入私域</x:v>
      </x:c>
      <x:c r="AM14" s="20" t="str">
        <x:v>只在可确认的公共边界内理解住宅如何连接城市。</x:v>
      </x:c>
      <x:c r="AN14" s="20" t="str">
        <x:v>只使用确认过的公共通道，不进入居民私域，也不默认允许拍摄。</x:v>
      </x:c>
    </x:row>
    <x:row r="15" ht="64" customHeight="1">
      <x:c r="A15" s="20" t="str">
        <x:v>RM10</x:v>
      </x:c>
      <x:c r="B15" s="20" t="str">
        <x:v>D2</x:v>
      </x:c>
      <x:c r="C15" s="20" t="str">
        <x:v>核心</x:v>
      </x:c>
      <x:c r="D15" s="20" t="str">
        <x:v>陆路城门与山城步道</x:v>
      </x:c>
      <x:c r="E15" s="20" t="str">
        <x:v>核心解释</x:v>
      </x:c>
      <x:c r="F15" s="20" t="str">
        <x:v>CQ012|CQ013|CQ014</x:v>
      </x:c>
      <x:c r="G15" s="20" t="str">
        <x:v>通远门—第三山城步道—十八梯比较</x:v>
      </x:c>
      <x:c r="H15" s="20" t="str">
        <x:v>用脚理解坡度、街巷、休息平台和居民生活如何组成城市交通。</x:v>
      </x:c>
      <x:c r="I15" s="20" t="str">
        <x:v>山城步道是交通和社会空间，不只是景观栈道。</x:v>
      </x:c>
      <x:c r="J15" s="20" t="str">
        <x:v>记录道路如何变成台阶、平台、巷和院落边缘。</x:v>
      </x:c>
      <x:c r="K15" s="23" t="n">
        <x:v>210</x:v>
      </x:c>
      <x:c r="L15" s="23" t="n">
        <x:v>3</x:v>
      </x:c>
      <x:c r="M15" s="23" t="n">
        <x:v>1</x:v>
      </x:c>
      <x:c r="N15" s="23" t="n">
        <x:v>1</x:v>
      </x:c>
      <x:c r="O15" s="23" t="n">
        <x:v>5</x:v>
      </x:c>
      <x:c r="P15" s="23" t="n">
        <x:v>4</x:v>
      </x:c>
      <x:c r="Q15" s="23" t="n">
        <x:v>5</x:v>
      </x:c>
      <x:c r="R15" s="23" t="n">
        <x:v>3</x:v>
      </x:c>
      <x:c r="S15" s="23" t="n">
        <x:v>1</x:v>
      </x:c>
      <x:c r="T15" s="23" t="n">
        <x:v>5</x:v>
      </x:c>
      <x:c r="U15" s="23" t="n">
        <x:v>5</x:v>
      </x:c>
      <x:c r="V15" s="23" t="n">
        <x:v>98</x:v>
      </x:c>
      <x:c r="W15" s="20" t="str">
        <x:v>高体力步道</x:v>
      </x:c>
      <x:c r="X15" s="20" t="str">
        <x:v>必须但可替换</x:v>
      </x:c>
      <x:c r="Y15" s="20" t="str">
        <x:v>https://www.shplanning.com.cn/archive/download/id/487.html</x:v>
      </x:c>
      <x:c r="Z15" s="20" t="str">
        <x:v>雨天、低体力或未完整实走时改低台阶版</x:v>
      </x:c>
      <x:c r="AA15" s="20" t="str">
        <x:v>山城步道|通远门|十八梯|徒步</x:v>
      </x:c>
      <x:c r="AB15" s="20" t="str">
        <x:v>想用脚感受山城|不喜欢走马观花</x:v>
      </x:c>
      <x:c r="AC15" s="23" t="n">
        <x:v>4</x:v>
      </x:c>
      <x:c r="AD15" s="23" t="n">
        <x:v>5</x:v>
      </x:c>
      <x:c r="AE15" s="23" t="n">
        <x:v>5</x:v>
      </x:c>
      <x:c r="AF15" s="23" t="n">
        <x:v>1</x:v>
      </x:c>
      <x:c r="AG15" s="23" t="n">
        <x:v>1</x:v>
      </x:c>
      <x:c r="AH15" s="23" t="n">
        <x:v>4</x:v>
      </x:c>
      <x:c r="AI15" s="23" t="n">
        <x:v>2</x:v>
      </x:c>
      <x:c r="AJ15" s="23" t="n">
        <x:v>5</x:v>
      </x:c>
      <x:c r="AK15" s="20" t="str">
        <x:v>雨天、低体力、膝关节问题或路线未实测时替换</x:v>
      </x:c>
      <x:c r="AL15" s="20" t="str">
        <x:v>连续台阶能力|膝关节情况</x:v>
      </x:c>
      <x:c r="AM15" s="20" t="str">
        <x:v>用真实坡度和街巷说明山城道路如何运转。</x:v>
      </x:c>
      <x:c r="AN15" s="20" t="str">
        <x:v>包含较多连续台阶；雨天、膝关节不适或低体力时改走低台阶版本。</x:v>
      </x:c>
    </x:row>
    <x:row r="16" ht="64" customHeight="1">
      <x:c r="A16" s="20" t="str">
        <x:v>RM11</x:v>
      </x:c>
      <x:c r="B16" s="20" t="str">
        <x:v>D2</x:v>
      </x:c>
      <x:c r="C16" s="20" t="str">
        <x:v>补充</x:v>
      </x:c>
      <x:c r="D16" s="20" t="str">
        <x:v>平民战争记忆</x:v>
      </x:c>
      <x:c r="E16" s="20" t="str">
        <x:v>核心解释</x:v>
      </x:c>
      <x:c r="F16" s="20" t="str">
        <x:v>CQ015</x:v>
      </x:c>
      <x:c r="G16" s="20" t="str">
        <x:v>重庆大轰炸遗址陈列馆</x:v>
      </x:c>
      <x:c r="H16" s="20" t="str">
        <x:v>从夜景奇观切回战争中的普通人经验。</x:v>
      </x:c>
      <x:c r="I16" s="20" t="str">
        <x:v>重内容需要情绪提示，不能与娱乐点位随意拼接。</x:v>
      </x:c>
      <x:c r="J16" s="20" t="str">
        <x:v>进入前做内容预警，离开后安排安静恢复。</x:v>
      </x:c>
      <x:c r="K16" s="23" t="n">
        <x:v>60</x:v>
      </x:c>
      <x:c r="L16" s="23" t="n">
        <x:v>1</x:v>
      </x:c>
      <x:c r="M16" s="23" t="n">
        <x:v>3</x:v>
      </x:c>
      <x:c r="N16" s="23" t="n">
        <x:v>3</x:v>
      </x:c>
      <x:c r="O16" s="23" t="n">
        <x:v>2</x:v>
      </x:c>
      <x:c r="P16" s="23" t="n">
        <x:v>1</x:v>
      </x:c>
      <x:c r="Q16" s="23" t="n">
        <x:v>5</x:v>
      </x:c>
      <x:c r="R16" s="23" t="n">
        <x:v>1</x:v>
      </x:c>
      <x:c r="S16" s="23" t="n">
        <x:v>2</x:v>
      </x:c>
      <x:c r="T16" s="23" t="n">
        <x:v>3</x:v>
      </x:c>
      <x:c r="U16" s="23" t="n">
        <x:v>4</x:v>
      </x:c>
      <x:c r="V16" s="23" t="n">
        <x:v>55</x:v>
      </x:c>
      <x:c r="W16" s="20" t="str">
        <x:v>战争记忆</x:v>
      </x:c>
      <x:c r="X16" s="20" t="str">
        <x:v>定向输出</x:v>
      </x:c>
      <x:c r="Y16" s="20" t="str">
        <x:v>https://whlyw.cq.gov.cn/zwxx_221/bmdt/tzgg/202601/t20260115_15320690.html</x:v>
      </x:c>
      <x:c r="Z16" s="20" t="str">
        <x:v>亲子低龄、纯摄影或轻松客群删除</x:v>
      </x:c>
      <x:c r="AA16" s="20" t="str">
        <x:v>大轰炸|战争遗址|纪念馆</x:v>
      </x:c>
      <x:c r="AB16" s="20" t="str">
        <x:v>想理解普通人的战争经验|需要严肃内容</x:v>
      </x:c>
      <x:c r="AC16" s="23" t="n">
        <x:v>2</x:v>
      </x:c>
      <x:c r="AD16" s="23" t="n">
        <x:v>5</x:v>
      </x:c>
      <x:c r="AE16" s="23" t="n">
        <x:v>2</x:v>
      </x:c>
      <x:c r="AF16" s="23" t="n">
        <x:v>1</x:v>
      </x:c>
      <x:c r="AG16" s="23" t="n">
        <x:v>4</x:v>
      </x:c>
      <x:c r="AH16" s="23" t="n">
        <x:v>1</x:v>
      </x:c>
      <x:c r="AI16" s="23" t="n">
        <x:v>1</x:v>
      </x:c>
      <x:c r="AJ16" s="23" t="n">
        <x:v>4</x:v>
      </x:c>
      <x:c r="AK16" s="20" t="str">
        <x:v>低龄亲子、纯摄影或情绪负担高时删除</x:v>
      </x:c>
      <x:c r="AL16" s="20" t="str">
        <x:v>是否接受战争与伤亡内容</x:v>
      </x:c>
      <x:c r="AM16" s="20" t="str">
        <x:v>把城市奇观拉回普通人的战争记忆，并给予情绪缓冲。</x:v>
      </x:c>
      <x:c r="AN16" s="20" t="str">
        <x:v>内容涉及战争与平民伤亡，进入前会先做内容提示。</x:v>
      </x:c>
    </x:row>
    <x:row r="17" ht="64" customHeight="1">
      <x:c r="A17" s="20" t="str">
        <x:v>RM12</x:v>
      </x:c>
      <x:c r="B17" s="20" t="str">
        <x:v>D2</x:v>
      </x:c>
      <x:c r="C17" s="20" t="str">
        <x:v>核心</x:v>
      </x:c>
      <x:c r="D17" s="20" t="str">
        <x:v>小面早餐与火锅社交</x:v>
      </x:c>
      <x:c r="E17" s="20" t="str">
        <x:v>付费体验</x:v>
      </x:c>
      <x:c r="F17" s="20" t="str">
        <x:v>CQ038|CQ039</x:v>
      </x:c>
      <x:c r="G17" s="20" t="str">
        <x:v>重庆小面—双语火锅体验</x:v>
      </x:c>
      <x:c r="H17" s="20" t="str">
        <x:v>从一碗早餐进入日常，再用火锅理解共享餐桌、辣度和社交规则。</x:v>
      </x:c>
      <x:c r="I17" s="20" t="str">
        <x:v>餐厅名单不是产品；点菜、过敏、辣度和规则才是。</x:v>
      </x:c>
      <x:c r="J17" s="20" t="str">
        <x:v>由游客完成一次有解释的点菜。</x:v>
      </x:c>
      <x:c r="K17" s="23" t="n">
        <x:v>180</x:v>
      </x:c>
      <x:c r="L17" s="23" t="n">
        <x:v>1</x:v>
      </x:c>
      <x:c r="M17" s="23" t="n">
        <x:v>3</x:v>
      </x:c>
      <x:c r="N17" s="23" t="n">
        <x:v>3</x:v>
      </x:c>
      <x:c r="O17" s="23" t="n">
        <x:v>5</x:v>
      </x:c>
      <x:c r="P17" s="23" t="n">
        <x:v>2</x:v>
      </x:c>
      <x:c r="Q17" s="23" t="n">
        <x:v>2</x:v>
      </x:c>
      <x:c r="R17" s="23" t="n">
        <x:v>5</x:v>
      </x:c>
      <x:c r="S17" s="23" t="n">
        <x:v>5</x:v>
      </x:c>
      <x:c r="T17" s="23" t="n">
        <x:v>5</x:v>
      </x:c>
      <x:c r="U17" s="23" t="n">
        <x:v>5</x:v>
      </x:c>
      <x:c r="V17" s="23" t="n">
        <x:v>97</x:v>
      </x:c>
      <x:c r="W17" s="20" t="str">
        <x:v>食物体验</x:v>
      </x:c>
      <x:c r="X17" s="20" t="str">
        <x:v>必须输出</x:v>
      </x:c>
      <x:c r="Y17" s="20" t="str">
        <x:v>https://whlyw.cq.gov.cn/zjwl/szq/zqms/202411/t20241111_13787035.html</x:v>
      </x:c>
      <x:c r="Z17" s="20" t="str">
        <x:v>无双语点菜和安全规则不得作为收费体验</x:v>
      </x:c>
      <x:c r="AA17" s="20" t="str">
        <x:v>小面|火锅|美食|点菜</x:v>
      </x:c>
      <x:c r="AB17" s="20" t="str">
        <x:v>想吃得像本地人|担心辣度过敏和点菜</x:v>
      </x:c>
      <x:c r="AC17" s="23" t="n">
        <x:v>2</x:v>
      </x:c>
      <x:c r="AD17" s="23" t="n">
        <x:v>2</x:v>
      </x:c>
      <x:c r="AE17" s="23" t="n">
        <x:v>5</x:v>
      </x:c>
      <x:c r="AF17" s="23" t="n">
        <x:v>5</x:v>
      </x:c>
      <x:c r="AG17" s="23" t="n">
        <x:v>3</x:v>
      </x:c>
      <x:c r="AH17" s="23" t="n">
        <x:v>3</x:v>
      </x:c>
      <x:c r="AI17" s="23" t="n">
        <x:v>4</x:v>
      </x:c>
      <x:c r="AJ17" s="23" t="n">
        <x:v>4</x:v>
      </x:c>
      <x:c r="AK17" s="20" t="str">
        <x:v>无双语点菜、辣度和过敏规则时不得收费</x:v>
      </x:c>
      <x:c r="AL17" s="20" t="str">
        <x:v>过敏|忌口|辣度|预算</x:v>
      </x:c>
      <x:c r="AM17" s="20" t="str">
        <x:v>不是餐厅名单，而是一套可参与、可解释、可安全履约的饮食体验。</x:v>
      </x:c>
      <x:c r="AN17" s="20" t="str">
        <x:v>预订前必须确认过敏原、忌口和辣度；价格与取消规则另行说明。</x:v>
      </x:c>
    </x:row>
    <x:row r="18" ht="64" customHeight="1">
      <x:c r="A18" s="20" t="str">
        <x:v>RM13</x:v>
      </x:c>
      <x:c r="B18" s="20" t="str">
        <x:v>D3</x:v>
      </x:c>
      <x:c r="C18" s="20" t="str">
        <x:v>核心</x:v>
      </x:c>
      <x:c r="D18" s="20" t="str">
        <x:v>博物馆建立城市框架</x:v>
      </x:c>
      <x:c r="E18" s="20" t="str">
        <x:v>核心解释</x:v>
      </x:c>
      <x:c r="F18" s="20" t="str">
        <x:v>CQ017|CQ018</x:v>
      </x:c>
      <x:c r="G18" s="20" t="str">
        <x:v>三峡博物馆—人民大礼堂外观</x:v>
      </x:c>
      <x:c r="H18" s="20" t="str">
        <x:v>用地形、移民、三峡和抗战四条线解释前两天看到的重庆。</x:v>
      </x:c>
      <x:c r="I18" s="20" t="str">
        <x:v>博物馆只选与路线相关的展厅，不追求逛完。</x:v>
      </x:c>
      <x:c r="J18" s="20" t="str">
        <x:v>说出三件离馆后更能理解的城市现象。</x:v>
      </x:c>
      <x:c r="K18" s="23" t="n">
        <x:v>180</x:v>
      </x:c>
      <x:c r="L18" s="23" t="n">
        <x:v>1</x:v>
      </x:c>
      <x:c r="M18" s="23" t="n">
        <x:v>3</x:v>
      </x:c>
      <x:c r="N18" s="23" t="n">
        <x:v>3</x:v>
      </x:c>
      <x:c r="O18" s="23" t="n">
        <x:v>5</x:v>
      </x:c>
      <x:c r="P18" s="23" t="n">
        <x:v>2</x:v>
      </x:c>
      <x:c r="Q18" s="23" t="n">
        <x:v>5</x:v>
      </x:c>
      <x:c r="R18" s="23" t="n">
        <x:v>2</x:v>
      </x:c>
      <x:c r="S18" s="23" t="n">
        <x:v>5</x:v>
      </x:c>
      <x:c r="T18" s="23" t="n">
        <x:v>3</x:v>
      </x:c>
      <x:c r="U18" s="23" t="n">
        <x:v>4</x:v>
      </x:c>
      <x:c r="V18" s="23" t="n">
        <x:v>92</x:v>
      </x:c>
      <x:c r="W18" s="20" t="str">
        <x:v>博物馆/框架</x:v>
      </x:c>
      <x:c r="X18" s="20" t="str">
        <x:v>必须输出</x:v>
      </x:c>
      <x:c r="Y18" s="20" t="str">
        <x:v>https://www.3gmuseum.cn/web/article/1430010139317059584/web/content_1430010139317059584.html</x:v>
      </x:c>
      <x:c r="Z18" s="20" t="str">
        <x:v>周一或临展变化时调整到其他日期</x:v>
      </x:c>
      <x:c r="AA18" s="20" t="str">
        <x:v>三峡博物馆|博物馆|带孩子|雨天</x:v>
      </x:c>
      <x:c r="AB18" s="20" t="str">
        <x:v>想建立整体框架|需要低体力和可控安排</x:v>
      </x:c>
      <x:c r="AC18" s="23" t="n">
        <x:v>2</x:v>
      </x:c>
      <x:c r="AD18" s="23" t="n">
        <x:v>5</x:v>
      </x:c>
      <x:c r="AE18" s="23" t="n">
        <x:v>2</x:v>
      </x:c>
      <x:c r="AF18" s="23" t="n">
        <x:v>1</x:v>
      </x:c>
      <x:c r="AG18" s="23" t="n">
        <x:v>5</x:v>
      </x:c>
      <x:c r="AH18" s="23" t="n">
        <x:v>2</x:v>
      </x:c>
      <x:c r="AI18" s="23" t="n">
        <x:v>5</x:v>
      </x:c>
      <x:c r="AJ18" s="23" t="n">
        <x:v>3</x:v>
      </x:c>
      <x:c r="AK18" s="20" t="str">
        <x:v>闭馆或展陈变化时换日</x:v>
      </x:c>
      <x:c r="AL18" s="20" t="str">
        <x:v>开放时间|儿童年龄</x:v>
      </x:c>
      <x:c r="AM18" s="20" t="str">
        <x:v>只选能解释前两天所见现象的展厅，建立城市框架。</x:v>
      </x:c>
      <x:c r="AN18" s="20" t="str">
        <x:v>周一和临展调整可能影响开放，出发前会再次确认。</x:v>
      </x:c>
    </x:row>
    <x:row r="19" ht="64" customHeight="1">
      <x:c r="A19" s="20" t="str">
        <x:v>RM14</x:v>
      </x:c>
      <x:c r="B19" s="20" t="str">
        <x:v>D3</x:v>
      </x:c>
      <x:c r="C19" s="20" t="str">
        <x:v>核心</x:v>
      </x:c>
      <x:c r="D19" s="20" t="str">
        <x:v>抗战陪都街区</x:v>
      </x:c>
      <x:c r="E19" s="20" t="str">
        <x:v>核心解释</x:v>
      </x:c>
      <x:c r="F19" s="20" t="str">
        <x:v>CQ019</x:v>
      </x:c>
      <x:c r="G19" s="20" t="str">
        <x:v>中山四路：桂园—周公馆—特园</x:v>
      </x:c>
      <x:c r="H19" s="20" t="str">
        <x:v>把政治、谈判、外交和文化活动放进一条可步行街道。</x:v>
      </x:c>
      <x:c r="I19" s="20" t="str">
        <x:v>用关系和选择讲历史，不堆人物与年代。</x:v>
      </x:c>
      <x:c r="J19" s="20" t="str">
        <x:v>比较住宅尺度与其承担的国际政治功能。</x:v>
      </x:c>
      <x:c r="K19" s="23" t="n">
        <x:v>120</x:v>
      </x:c>
      <x:c r="L19" s="23" t="n">
        <x:v>1</x:v>
      </x:c>
      <x:c r="M19" s="23" t="n">
        <x:v>2</x:v>
      </x:c>
      <x:c r="N19" s="23" t="n">
        <x:v>2</x:v>
      </x:c>
      <x:c r="O19" s="23" t="n">
        <x:v>4</x:v>
      </x:c>
      <x:c r="P19" s="23" t="n">
        <x:v>2</x:v>
      </x:c>
      <x:c r="Q19" s="23" t="n">
        <x:v>5</x:v>
      </x:c>
      <x:c r="R19" s="23" t="n">
        <x:v>1</x:v>
      </x:c>
      <x:c r="S19" s="23" t="n">
        <x:v>3</x:v>
      </x:c>
      <x:c r="T19" s="23" t="n">
        <x:v>4</x:v>
      </x:c>
      <x:c r="U19" s="23" t="n">
        <x:v>5</x:v>
      </x:c>
      <x:c r="V19" s="23" t="n">
        <x:v>93</x:v>
      </x:c>
      <x:c r="W19" s="20" t="str">
        <x:v>抗战/外交</x:v>
      </x:c>
      <x:c r="X19" s="20" t="str">
        <x:v>必须输出</x:v>
      </x:c>
      <x:c r="Y19" s="20" t="str">
        <x:v>https://www.cqyz.gov.cn/zjyz/lyyz/rmdkd/202210/t20221005_11164444.html</x:v>
      </x:c>
      <x:c r="Z19" s="20" t="str">
        <x:v>政治史比重过高时与RM15合并压缩</x:v>
      </x:c>
      <x:c r="AA19" s="20" t="str">
        <x:v>中山四路|陪都|周公馆|桂园</x:v>
      </x:c>
      <x:c r="AB19" s="20" t="str">
        <x:v>想理解抗战政治与外交|喜欢街区叙事</x:v>
      </x:c>
      <x:c r="AC19" s="23" t="n">
        <x:v>3</x:v>
      </x:c>
      <x:c r="AD19" s="23" t="n">
        <x:v>5</x:v>
      </x:c>
      <x:c r="AE19" s="23" t="n">
        <x:v>3</x:v>
      </x:c>
      <x:c r="AF19" s="23" t="n">
        <x:v>1</x:v>
      </x:c>
      <x:c r="AG19" s="23" t="n">
        <x:v>4</x:v>
      </x:c>
      <x:c r="AH19" s="23" t="n">
        <x:v>3</x:v>
      </x:c>
      <x:c r="AI19" s="23" t="n">
        <x:v>4</x:v>
      </x:c>
      <x:c r="AJ19" s="23" t="n">
        <x:v>4</x:v>
      </x:c>
      <x:c r="AK19" s="20" t="str">
        <x:v>政治史比重过高时与其他历史模块合并</x:v>
      </x:c>
      <x:c r="AL19" s="20" t="str">
        <x:v>历史兴趣深度</x:v>
      </x:c>
      <x:c r="AM19" s="20" t="str">
        <x:v>用一条街上的住宅尺度讲政治、谈判与国际关系。</x:v>
      </x:c>
      <x:c r="AN19" s="20" t="str">
        <x:v>街区步行约两小时；会按兴趣控制政治史讲解比重。</x:v>
      </x:c>
    </x:row>
    <x:row r="20" ht="64" customHeight="1">
      <x:c r="A20" s="20" t="str">
        <x:v>RM15</x:v>
      </x:c>
      <x:c r="B20" s="20" t="str">
        <x:v>D3</x:v>
      </x:c>
      <x:c r="C20" s="20" t="str">
        <x:v>补充</x:v>
      </x:c>
      <x:c r="D20" s="20" t="str">
        <x:v>国际二战接口</x:v>
      </x:c>
      <x:c r="E20" s="20" t="str">
        <x:v>核心解释</x:v>
      </x:c>
      <x:c r="F20" s="20" t="str">
        <x:v>CQ020</x:v>
      </x:c>
      <x:c r="G20" s="20" t="str">
        <x:v>重庆史迪威博物馆</x:v>
      </x:c>
      <x:c r="H20" s="20" t="str">
        <x:v>通过史迪威、飞虎队和滇缅交通连接外国游客熟悉的二战框架。</x:v>
      </x:c>
      <x:c r="I20" s="20" t="str">
        <x:v>区分人物、旧居、军事网络和当代展陈。</x:v>
      </x:c>
      <x:c r="J20" s="20" t="str">
        <x:v>问盟友各自期待什么、冲突在哪里。</x:v>
      </x:c>
      <x:c r="K20" s="23" t="n">
        <x:v>80</x:v>
      </x:c>
      <x:c r="L20" s="23" t="n">
        <x:v>1</x:v>
      </x:c>
      <x:c r="M20" s="23" t="n">
        <x:v>3</x:v>
      </x:c>
      <x:c r="N20" s="23" t="n">
        <x:v>3</x:v>
      </x:c>
      <x:c r="O20" s="23" t="n">
        <x:v>3</x:v>
      </x:c>
      <x:c r="P20" s="23" t="n">
        <x:v>2</x:v>
      </x:c>
      <x:c r="Q20" s="23" t="n">
        <x:v>5</x:v>
      </x:c>
      <x:c r="R20" s="23" t="n">
        <x:v>1</x:v>
      </x:c>
      <x:c r="S20" s="23" t="n">
        <x:v>4</x:v>
      </x:c>
      <x:c r="T20" s="23" t="n">
        <x:v>4</x:v>
      </x:c>
      <x:c r="U20" s="23" t="n">
        <x:v>5</x:v>
      </x:c>
      <x:c r="V20" s="23" t="n">
        <x:v>74</x:v>
      </x:c>
      <x:c r="W20" s="20" t="str">
        <x:v>国际史</x:v>
      </x:c>
      <x:c r="X20" s="20" t="str">
        <x:v>按兴趣</x:v>
      </x:c>
      <x:c r="Y20" s="20" t="str">
        <x:v>https://www.cq.gov.cn/zwgk/zfxxgkml/zdlyxxgk/ggwh/wh/zxdt/202605/t20260518_15684252.html</x:v>
      </x:c>
      <x:c r="Z20" s="20" t="str">
        <x:v>无英语内容或客群不关心二战时删除</x:v>
      </x:c>
      <x:c r="AA20" s="20" t="str">
        <x:v>史迪威|飞虎队|二战|美国游客</x:v>
      </x:c>
      <x:c r="AB20" s="20" t="str">
        <x:v>想把重庆接入熟悉的世界史|有家族或国别连接</x:v>
      </x:c>
      <x:c r="AC20" s="23" t="n">
        <x:v>2</x:v>
      </x:c>
      <x:c r="AD20" s="23" t="n">
        <x:v>5</x:v>
      </x:c>
      <x:c r="AE20" s="23" t="n">
        <x:v>2</x:v>
      </x:c>
      <x:c r="AF20" s="23" t="n">
        <x:v>1</x:v>
      </x:c>
      <x:c r="AG20" s="23" t="n">
        <x:v>4</x:v>
      </x:c>
      <x:c r="AH20" s="23" t="n">
        <x:v>2</x:v>
      </x:c>
      <x:c r="AI20" s="23" t="n">
        <x:v>3</x:v>
      </x:c>
      <x:c r="AJ20" s="23" t="n">
        <x:v>5</x:v>
      </x:c>
      <x:c r="AK20" s="20" t="str">
        <x:v>客群不关心二战或英语内容不足时删除</x:v>
      </x:c>
      <x:c r="AL20" s="20" t="str">
        <x:v>国别背景|二战兴趣</x:v>
      </x:c>
      <x:c r="AM20" s="20" t="str">
        <x:v>通过人物和交通网络连接外国游客熟悉的二战框架。</x:v>
      </x:c>
      <x:c r="AN20" s="20" t="str">
        <x:v>英文展陈和开放状态需要提前确认。</x:v>
      </x:c>
    </x:row>
    <x:row r="21" ht="64" customHeight="1">
      <x:c r="A21" s="20" t="str">
        <x:v>RM16</x:v>
      </x:c>
      <x:c r="B21" s="20" t="str">
        <x:v>D3</x:v>
      </x:c>
      <x:c r="C21" s="20" t="str">
        <x:v>核心</x:v>
      </x:c>
      <x:c r="D21" s="20" t="str">
        <x:v>先乘坐，再拍照</x:v>
      </x:c>
      <x:c r="E21" s="20" t="str">
        <x:v>引流钩子</x:v>
      </x:c>
      <x:c r="F21" s="20" t="str">
        <x:v>CQ021|CQ022</x:v>
      </x:c>
      <x:c r="G21" s="20" t="str">
        <x:v>轨道2号线—李子坝</x:v>
      </x:c>
      <x:c r="H21" s="20" t="str">
        <x:v>单轨的价值是适应曲线、坡度和密集城市，而不是一张穿楼照片。</x:v>
      </x:c>
      <x:c r="I21" s="20" t="str">
        <x:v>李子坝观景台是验证点，乘车才是核心。</x:v>
      </x:c>
      <x:c r="J21" s="20" t="str">
        <x:v>从车内记录高架、沿江、曲线和不同地面。</x:v>
      </x:c>
      <x:c r="K21" s="23" t="n">
        <x:v>70</x:v>
      </x:c>
      <x:c r="L21" s="23" t="n">
        <x:v>1</x:v>
      </x:c>
      <x:c r="M21" s="23" t="n">
        <x:v>3</x:v>
      </x:c>
      <x:c r="N21" s="23" t="n">
        <x:v>3</x:v>
      </x:c>
      <x:c r="O21" s="23" t="n">
        <x:v>5</x:v>
      </x:c>
      <x:c r="P21" s="23" t="n">
        <x:v>5</x:v>
      </x:c>
      <x:c r="Q21" s="23" t="n">
        <x:v>2</x:v>
      </x:c>
      <x:c r="R21" s="23" t="n">
        <x:v>1</x:v>
      </x:c>
      <x:c r="S21" s="23" t="n">
        <x:v>5</x:v>
      </x:c>
      <x:c r="T21" s="23" t="n">
        <x:v>3</x:v>
      </x:c>
      <x:c r="U21" s="23" t="n">
        <x:v>4</x:v>
      </x:c>
      <x:c r="V21" s="23" t="n">
        <x:v>99</x:v>
      </x:c>
      <x:c r="W21" s="20" t="str">
        <x:v>交通奇观</x:v>
      </x:c>
      <x:c r="X21" s="20" t="str">
        <x:v>必须输出</x:v>
      </x:c>
      <x:c r="Y21" s="20" t="str">
        <x:v>https://www.cq.gov.cn/ywdt/jrcq/202606/t20260613_15751500.html</x:v>
      </x:c>
      <x:c r="Z21" s="20" t="str">
        <x:v>施工期只保留乘车核心，外部观景可删除</x:v>
      </x:c>
      <x:c r="AA21" s="20" t="str">
        <x:v>李子坝|轻轨穿楼|单轨|交通</x:v>
      </x:c>
      <x:c r="AB21" s="20" t="str">
        <x:v>想拍最有传播力的城市交通|孩子喜欢地铁</x:v>
      </x:c>
      <x:c r="AC21" s="23" t="n">
        <x:v>5</x:v>
      </x:c>
      <x:c r="AD21" s="23" t="n">
        <x:v>2</x:v>
      </x:c>
      <x:c r="AE21" s="23" t="n">
        <x:v>2</x:v>
      </x:c>
      <x:c r="AF21" s="23" t="n">
        <x:v>1</x:v>
      </x:c>
      <x:c r="AG21" s="23" t="n">
        <x:v>4</x:v>
      </x:c>
      <x:c r="AH21" s="23" t="n">
        <x:v>5</x:v>
      </x:c>
      <x:c r="AI21" s="23" t="n">
        <x:v>5</x:v>
      </x:c>
      <x:c r="AJ21" s="23" t="n">
        <x:v>3</x:v>
      </x:c>
      <x:c r="AK21" s="20" t="str">
        <x:v>施工或观景台拥挤时只保留乘车</x:v>
      </x:c>
      <x:c r="AL21" s="20" t="str">
        <x:v>是否晕车|拍摄目的</x:v>
      </x:c>
      <x:c r="AM21" s="20" t="str">
        <x:v>先乘坐理解系统，再把穿楼当作验证点。</x:v>
      </x:c>
      <x:c r="AN21" s="20" t="str">
        <x:v>施工或人流较大时仍保留乘车体验，外部观景点可能调整。</x:v>
      </x:c>
    </x:row>
    <x:row r="22" ht="64" customHeight="1">
      <x:c r="A22" s="20" t="str">
        <x:v>RM17</x:v>
      </x:c>
      <x:c r="B22" s="20" t="str">
        <x:v>D3</x:v>
      </x:c>
      <x:c r="C22" s="20" t="str">
        <x:v>补充</x:v>
      </x:c>
      <x:c r="D22" s="20" t="str">
        <x:v>鹅岭高点复盘</x:v>
      </x:c>
      <x:c r="E22" s="20" t="str">
        <x:v>核心解释</x:v>
      </x:c>
      <x:c r="F22" s="20" t="str">
        <x:v>CQ023|CQ024</x:v>
      </x:c>
      <x:c r="G22" s="20" t="str">
        <x:v>鹅岭公园—二厂对比</x:v>
      </x:c>
      <x:c r="H22" s="20" t="str">
        <x:v>从高点重建两江、山脊和交通走廊，再讨论工业更新。</x:v>
      </x:c>
      <x:c r="I22" s="20" t="str">
        <x:v>观景不是终点，复盘三天路线才有内容。</x:v>
      </x:c>
      <x:c r="J22" s="20" t="str">
        <x:v>指出已走过的江岸、桥和山脊。</x:v>
      </x:c>
      <x:c r="K22" s="23" t="n">
        <x:v>105</x:v>
      </x:c>
      <x:c r="L22" s="23" t="n">
        <x:v>2</x:v>
      </x:c>
      <x:c r="M22" s="23" t="n">
        <x:v>2</x:v>
      </x:c>
      <x:c r="N22" s="23" t="n">
        <x:v>2</x:v>
      </x:c>
      <x:c r="O22" s="23" t="n">
        <x:v>3</x:v>
      </x:c>
      <x:c r="P22" s="23" t="n">
        <x:v>4</x:v>
      </x:c>
      <x:c r="Q22" s="23" t="n">
        <x:v>3</x:v>
      </x:c>
      <x:c r="R22" s="23" t="n">
        <x:v>2</x:v>
      </x:c>
      <x:c r="S22" s="23" t="n">
        <x:v>3</x:v>
      </x:c>
      <x:c r="T22" s="23" t="n">
        <x:v>5</x:v>
      </x:c>
      <x:c r="U22" s="23" t="n">
        <x:v>3</x:v>
      </x:c>
      <x:c r="V22" s="23" t="n">
        <x:v>63</x:v>
      </x:c>
      <x:c r="W22" s="20" t="str">
        <x:v>观景/更新</x:v>
      </x:c>
      <x:c r="X22" s="20" t="str">
        <x:v>按兴趣</x:v>
      </x:c>
      <x:c r="Y22" s="20" t="str">
        <x:v>https://ghzrzyj.cq.gov.cn/ztlm_186/ghgb/zxgh/202507/P020250716371670706300.pdf</x:v>
      </x:c>
      <x:c r="Z22" s="20" t="str">
        <x:v>能见度差时保留公园生活、删除高点承诺</x:v>
      </x:c>
      <x:c r="AA22" s="20" t="str">
        <x:v>鹅岭|二厂|观景台|日落</x:v>
      </x:c>
      <x:c r="AB22" s="20" t="str">
        <x:v>想从高处复盘城市|想拍不一样的视角</x:v>
      </x:c>
      <x:c r="AC22" s="23" t="n">
        <x:v>4</x:v>
      </x:c>
      <x:c r="AD22" s="23" t="n">
        <x:v>3</x:v>
      </x:c>
      <x:c r="AE22" s="23" t="n">
        <x:v>4</x:v>
      </x:c>
      <x:c r="AF22" s="23" t="n">
        <x:v>1</x:v>
      </x:c>
      <x:c r="AG22" s="23" t="n">
        <x:v>3</x:v>
      </x:c>
      <x:c r="AH22" s="23" t="n">
        <x:v>4</x:v>
      </x:c>
      <x:c r="AI22" s="23" t="n">
        <x:v>4</x:v>
      </x:c>
      <x:c r="AJ22" s="23" t="n">
        <x:v>4</x:v>
      </x:c>
      <x:c r="AK22" s="20" t="str">
        <x:v>能见度差时删除高点承诺</x:v>
      </x:c>
      <x:c r="AL22" s="20" t="str">
        <x:v>天气能见度</x:v>
      </x:c>
      <x:c r="AM22" s="20" t="str">
        <x:v>从高点重建江、桥和山脊，而不是再增加一个打卡点。</x:v>
      </x:c>
      <x:c r="AN22" s="20" t="str">
        <x:v>视野受雾和降雨影响；能见度差时改为公园生活与路线复盘。</x:v>
      </x:c>
    </x:row>
    <x:row r="23" ht="64" customHeight="1">
      <x:c r="A23" s="20" t="str">
        <x:v>RM18</x:v>
      </x:c>
      <x:c r="B23" s="20" t="str">
        <x:v>D3</x:v>
      </x:c>
      <x:c r="C23" s="20" t="str">
        <x:v>补充</x:v>
      </x:c>
      <x:c r="D23" s="20" t="str">
        <x:v>川剧或地方表演</x:v>
      </x:c>
      <x:c r="E23" s="20" t="str">
        <x:v>付费体验</x:v>
      </x:c>
      <x:c r="F23" s="20" t="str">
        <x:v>CQ040</x:v>
      </x:c>
      <x:c r="G23" s="20" t="str">
        <x:v>川剧/地方表演</x:v>
      </x:c>
      <x:c r="H23" s="20" t="str">
        <x:v>在雨天或夜间用现场表演补充地方审美与互动。</x:v>
      </x:c>
      <x:c r="I23" s="20" t="str">
        <x:v>只有拼盘演出不够，必须有看前解释和看后交流。</x:v>
      </x:c>
      <x:c r="J23" s="20" t="str">
        <x:v>辨认唱腔、脸谱、身段或乐器中的一个结构。</x:v>
      </x:c>
      <x:c r="K23" s="23" t="n">
        <x:v>100</x:v>
      </x:c>
      <x:c r="L23" s="23" t="n">
        <x:v>1</x:v>
      </x:c>
      <x:c r="M23" s="23" t="n">
        <x:v>3</x:v>
      </x:c>
      <x:c r="N23" s="23" t="n">
        <x:v>3</x:v>
      </x:c>
      <x:c r="O23" s="23" t="n">
        <x:v>2</x:v>
      </x:c>
      <x:c r="P23" s="23" t="n">
        <x:v>2</x:v>
      </x:c>
      <x:c r="Q23" s="23" t="n">
        <x:v>4</x:v>
      </x:c>
      <x:c r="R23" s="23" t="n">
        <x:v>3</x:v>
      </x:c>
      <x:c r="S23" s="23" t="n">
        <x:v>5</x:v>
      </x:c>
      <x:c r="T23" s="23" t="n">
        <x:v>3</x:v>
      </x:c>
      <x:c r="U23" s="23" t="n">
        <x:v>5</x:v>
      </x:c>
      <x:c r="V23" s="23" t="n">
        <x:v>50</x:v>
      </x:c>
      <x:c r="W23" s="20" t="str">
        <x:v>表演</x:v>
      </x:c>
      <x:c r="X23" s="20" t="str">
        <x:v>严格条件</x:v>
      </x:c>
      <x:c r="Y23" s="20" t="str">
        <x:v>https://whlyw.cq.gov.cn/zwgk_221/zfgkzcwj/qtwj/202607/t20260709_15810099.html</x:v>
      </x:c>
      <x:c r="Z23" s="20" t="str">
        <x:v>无英语解释、互动或版权规则时删除</x:v>
      </x:c>
      <x:c r="AA23" s="20" t="str">
        <x:v>川剧|变脸|演出|雨天</x:v>
      </x:c>
      <x:c r="AB23" s="20" t="str">
        <x:v>想要夜间文化体验|需要室内和亲子友好</x:v>
      </x:c>
      <x:c r="AC23" s="23" t="n">
        <x:v>3</x:v>
      </x:c>
      <x:c r="AD23" s="23" t="n">
        <x:v>3</x:v>
      </x:c>
      <x:c r="AE23" s="23" t="n">
        <x:v>4</x:v>
      </x:c>
      <x:c r="AF23" s="23" t="n">
        <x:v>1</x:v>
      </x:c>
      <x:c r="AG23" s="23" t="n">
        <x:v>5</x:v>
      </x:c>
      <x:c r="AH23" s="23" t="n">
        <x:v>3</x:v>
      </x:c>
      <x:c r="AI23" s="23" t="n">
        <x:v>5</x:v>
      </x:c>
      <x:c r="AJ23" s="23" t="n">
        <x:v>4</x:v>
      </x:c>
      <x:c r="AK23" s="20" t="str">
        <x:v>无英语解释、互动或版权规则时删除</x:v>
      </x:c>
      <x:c r="AL23" s="20" t="str">
        <x:v>演出排期|儿童年龄|拍摄许可</x:v>
      </x:c>
      <x:c r="AM23" s="20" t="str">
        <x:v>用看前解释和看后交流把表演从拼盘变成文化体验。</x:v>
      </x:c>
      <x:c r="AN23" s="20" t="str">
        <x:v>演出排期、英文解释、互动形式和拍摄许可需提前确认。</x:v>
      </x:c>
    </x:row>
    <x:row r="24" ht="64" customHeight="1">
      <x:c r="A24" s="20" t="str">
        <x:v>RM19</x:v>
      </x:c>
      <x:c r="B24" s="20" t="str">
        <x:v>D4</x:v>
      </x:c>
      <x:c r="C24" s="20" t="str">
        <x:v>开埠徒步</x:v>
      </x:c>
      <x:c r="D24" s="20" t="str">
        <x:v>开埠遗址与南岸更新</x:v>
      </x:c>
      <x:c r="E24" s="20" t="str">
        <x:v>核心解释</x:v>
      </x:c>
      <x:c r="F24" s="20" t="str">
        <x:v>CQ025|CQ026</x:v>
      </x:c>
      <x:c r="G24" s="20" t="str">
        <x:v>开埠遗址公园—龙门浩—下浩里</x:v>
      </x:c>
      <x:c r="H24" s="20" t="str">
        <x:v>把1891年开埠、江运、机构和街区更新放在一条江岸线上。</x:v>
      </x:c>
      <x:c r="I24" s="20" t="str">
        <x:v>区分历史遗存、修复和新消费空间。</x:v>
      </x:c>
      <x:c r="J24" s="20" t="str">
        <x:v>选择一栋建筑追踪它与江运的关系。</x:v>
      </x:c>
      <x:c r="K24" s="23" t="n">
        <x:v>210</x:v>
      </x:c>
      <x:c r="L24" s="23" t="n">
        <x:v>2</x:v>
      </x:c>
      <x:c r="M24" s="23" t="n">
        <x:v>2</x:v>
      </x:c>
      <x:c r="N24" s="23" t="n">
        <x:v>2</x:v>
      </x:c>
      <x:c r="O24" s="23" t="n">
        <x:v>3</x:v>
      </x:c>
      <x:c r="P24" s="23" t="n">
        <x:v>3</x:v>
      </x:c>
      <x:c r="Q24" s="23" t="n">
        <x:v>5</x:v>
      </x:c>
      <x:c r="R24" s="23" t="n">
        <x:v>2</x:v>
      </x:c>
      <x:c r="S24" s="23" t="n">
        <x:v>3</x:v>
      </x:c>
      <x:c r="T24" s="23" t="n">
        <x:v>5</x:v>
      </x:c>
      <x:c r="U24" s="23" t="n">
        <x:v>5</x:v>
      </x:c>
      <x:c r="V24" s="23" t="n">
        <x:v>92</x:v>
      </x:c>
      <x:c r="W24" s="20" t="str">
        <x:v>开埠/更新</x:v>
      </x:c>
      <x:c r="X24" s="20" t="str">
        <x:v>D4A核心</x:v>
      </x:c>
      <x:c r="Y24" s="20" t="str">
        <x:v>https://www.cq.gov.cn/ywdt/jrcq/202605/t20260506_15650945.html</x:v>
      </x:c>
      <x:c r="Z24" s="20" t="str">
        <x:v>未开放区域或商业活动变化时现场压缩</x:v>
      </x:c>
      <x:c r="AA24" s="20" t="str">
        <x:v>开埠|南岸|龙门浩|下浩里</x:v>
      </x:c>
      <x:c r="AB24" s="20" t="str">
        <x:v>想看近代世界联系|已看过首访景点</x:v>
      </x:c>
      <x:c r="AC24" s="23" t="n">
        <x:v>4</x:v>
      </x:c>
      <x:c r="AD24" s="23" t="n">
        <x:v>5</x:v>
      </x:c>
      <x:c r="AE24" s="23" t="n">
        <x:v>4</x:v>
      </x:c>
      <x:c r="AF24" s="23" t="n">
        <x:v>1</x:v>
      </x:c>
      <x:c r="AG24" s="23" t="n">
        <x:v>3</x:v>
      </x:c>
      <x:c r="AH24" s="23" t="n">
        <x:v>4</x:v>
      </x:c>
      <x:c r="AI24" s="23" t="n">
        <x:v>3</x:v>
      </x:c>
      <x:c r="AJ24" s="23" t="n">
        <x:v>5</x:v>
      </x:c>
      <x:c r="AK24" s="20" t="str">
        <x:v>未开放区域或商业活动变化时压缩</x:v>
      </x:c>
      <x:c r="AL24" s="20" t="str">
        <x:v>当天开放与施工</x:v>
      </x:c>
      <x:c r="AM24" s="20" t="str">
        <x:v>沿江岸追踪开埠、机构、建筑和当代更新。</x:v>
      </x:c>
      <x:c r="AN24" s="20" t="str">
        <x:v>沿线开放与施工变化较快，路线会在出发前复核。</x:v>
      </x:c>
    </x:row>
    <x:row r="25" ht="64" customHeight="1">
      <x:c r="A25" s="20" t="str">
        <x:v>RM20</x:v>
      </x:c>
      <x:c r="B25" s="20" t="str">
        <x:v>D4</x:v>
      </x:c>
      <x:c r="C25" s="20" t="str">
        <x:v>开埠徒步</x:v>
      </x:c>
      <x:c r="D25" s="20" t="str">
        <x:v>黄葛古道下行</x:v>
      </x:c>
      <x:c r="E25" s="20" t="str">
        <x:v>核心解释</x:v>
      </x:c>
      <x:c r="F25" s="20" t="str">
        <x:v>CQ027|CQ028</x:v>
      </x:c>
      <x:c r="G25" s="20" t="str">
        <x:v>黄桷垭—黄葛古道—上新街</x:v>
      </x:c>
      <x:c r="H25" s="20" t="str">
        <x:v>走一条旧山路，理解现代道路出现前的人、货物和信息如何跨越山体。</x:v>
      </x:c>
      <x:c r="I25" s="20" t="str">
        <x:v>古道首先是移动基础设施，其次才是徒步景点。</x:v>
      </x:c>
      <x:c r="J25" s="20" t="str">
        <x:v>记录铺装、排水、树荫、房屋和现代断点。</x:v>
      </x:c>
      <x:c r="K25" s="23" t="n">
        <x:v>210</x:v>
      </x:c>
      <x:c r="L25" s="23" t="n">
        <x:v>3</x:v>
      </x:c>
      <x:c r="M25" s="23" t="n">
        <x:v>1</x:v>
      </x:c>
      <x:c r="N25" s="23" t="n">
        <x:v>1</x:v>
      </x:c>
      <x:c r="O25" s="23" t="n">
        <x:v>2</x:v>
      </x:c>
      <x:c r="P25" s="23" t="n">
        <x:v>4</x:v>
      </x:c>
      <x:c r="Q25" s="23" t="n">
        <x:v>5</x:v>
      </x:c>
      <x:c r="R25" s="23" t="n">
        <x:v>3</x:v>
      </x:c>
      <x:c r="S25" s="23" t="n">
        <x:v>1</x:v>
      </x:c>
      <x:c r="T25" s="23" t="n">
        <x:v>5</x:v>
      </x:c>
      <x:c r="U25" s="23" t="n">
        <x:v>5</x:v>
      </x:c>
      <x:c r="V25" s="23" t="n">
        <x:v>88</x:v>
      </x:c>
      <x:c r="W25" s="20" t="str">
        <x:v>高体力步道</x:v>
      </x:c>
      <x:c r="X25" s="20" t="str">
        <x:v>D4A核心</x:v>
      </x:c>
      <x:c r="Y25" s="20" t="str">
        <x:v>https://www.shplanning.com.cn/archive/download/id/487.html</x:v>
      </x:c>
      <x:c r="Z25" s="20" t="str">
        <x:v>雨天、低体力或未取得可靠轨迹即删除</x:v>
      </x:c>
      <x:c r="AA25" s="20" t="str">
        <x:v>黄葛古道|徒步|古道|山路</x:v>
      </x:c>
      <x:c r="AB25" s="20" t="str">
        <x:v>想挑战真正的山城路线|重视基础设施史</x:v>
      </x:c>
      <x:c r="AC25" s="23" t="n">
        <x:v>4</x:v>
      </x:c>
      <x:c r="AD25" s="23" t="n">
        <x:v>5</x:v>
      </x:c>
      <x:c r="AE25" s="23" t="n">
        <x:v>5</x:v>
      </x:c>
      <x:c r="AF25" s="23" t="n">
        <x:v>1</x:v>
      </x:c>
      <x:c r="AG25" s="23" t="n">
        <x:v>1</x:v>
      </x:c>
      <x:c r="AH25" s="23" t="n">
        <x:v>4</x:v>
      </x:c>
      <x:c r="AI25" s="23" t="n">
        <x:v>2</x:v>
      </x:c>
      <x:c r="AJ25" s="23" t="n">
        <x:v>5</x:v>
      </x:c>
      <x:c r="AK25" s="20" t="str">
        <x:v>雨天、低体力、膝关节问题或轨迹不可靠时删除</x:v>
      </x:c>
      <x:c r="AL25" s="20" t="str">
        <x:v>连续台阶能力|鞋具|天气</x:v>
      </x:c>
      <x:c r="AM25" s="20" t="str">
        <x:v>把古道当作人和货物翻越山体的旧基础设施。</x:v>
      </x:c>
      <x:c r="AN25" s="20" t="str">
        <x:v>需要可靠鞋具和较强台阶能力；雨天不建议安排。</x:v>
      </x:c>
    </x:row>
    <x:row r="26" ht="64" customHeight="1">
      <x:c r="A26" s="20" t="str">
        <x:v>RM21</x:v>
      </x:c>
      <x:c r="B26" s="20" t="str">
        <x:v>D4</x:v>
      </x:c>
      <x:c r="C26" s="20" t="str">
        <x:v>开埠徒步</x:v>
      </x:c>
      <x:c r="D26" s="20" t="str">
        <x:v>南岸夜景收束</x:v>
      </x:c>
      <x:c r="E26" s="20" t="str">
        <x:v>引流钩子</x:v>
      </x:c>
      <x:c r="F26" s="20" t="str">
        <x:v>CQ034|CQ026</x:v>
      </x:c>
      <x:c r="G26" s="20" t="str">
        <x:v>南滨路—索道条件使用</x:v>
      </x:c>
      <x:c r="H26" s="20" t="str">
        <x:v>从南岸回看主城，把前三天的江、桥、崖和楼群收束起来。</x:v>
      </x:c>
      <x:c r="I26" s="20" t="str">
        <x:v>索道只在排队和天气可接受时使用。</x:v>
      </x:c>
      <x:c r="J26" s="20" t="str">
        <x:v>从南岸指出朝天门、渝中山脊和跨江交通。</x:v>
      </x:c>
      <x:c r="K26" s="23" t="n">
        <x:v>100</x:v>
      </x:c>
      <x:c r="L26" s="23" t="n">
        <x:v>1</x:v>
      </x:c>
      <x:c r="M26" s="23" t="n">
        <x:v>2</x:v>
      </x:c>
      <x:c r="N26" s="23" t="n">
        <x:v>2</x:v>
      </x:c>
      <x:c r="O26" s="23" t="n">
        <x:v>3</x:v>
      </x:c>
      <x:c r="P26" s="23" t="n">
        <x:v>4</x:v>
      </x:c>
      <x:c r="Q26" s="23" t="n">
        <x:v>3</x:v>
      </x:c>
      <x:c r="R26" s="23" t="n">
        <x:v>2</x:v>
      </x:c>
      <x:c r="S26" s="23" t="n">
        <x:v>4</x:v>
      </x:c>
      <x:c r="T26" s="23" t="n">
        <x:v>3</x:v>
      </x:c>
      <x:c r="U26" s="23" t="n">
        <x:v>4</x:v>
      </x:c>
      <x:c r="V26" s="23" t="n">
        <x:v>66</x:v>
      </x:c>
      <x:c r="W26" s="20" t="str">
        <x:v>夜景/观景</x:v>
      </x:c>
      <x:c r="X26" s="20" t="str">
        <x:v>D4A补充</x:v>
      </x:c>
      <x:c r="Y26" s="20" t="str">
        <x:v>https://www.cqsuodao.com/zhangjiangsuodao.html</x:v>
      </x:c>
      <x:c r="Z26" s="20" t="str">
        <x:v>已有RM04且时间不足时删除</x:v>
      </x:c>
      <x:c r="AA26" s="20" t="str">
        <x:v>南滨路|索道|夜景|收官</x:v>
      </x:c>
      <x:c r="AB26" s="20" t="str">
        <x:v>想在最后一晚总结城市|需要经典夜景</x:v>
      </x:c>
      <x:c r="AC26" s="23" t="n">
        <x:v>5</x:v>
      </x:c>
      <x:c r="AD26" s="23" t="n">
        <x:v>2</x:v>
      </x:c>
      <x:c r="AE26" s="23" t="n">
        <x:v>2</x:v>
      </x:c>
      <x:c r="AF26" s="23" t="n">
        <x:v>1</x:v>
      </x:c>
      <x:c r="AG26" s="23" t="n">
        <x:v>3</x:v>
      </x:c>
      <x:c r="AH26" s="23" t="n">
        <x:v>5</x:v>
      </x:c>
      <x:c r="AI26" s="23" t="n">
        <x:v>3</x:v>
      </x:c>
      <x:c r="AJ26" s="23" t="n">
        <x:v>3</x:v>
      </x:c>
      <x:c r="AK26" s="20" t="str">
        <x:v>已有同类夜景且时间不足时删除</x:v>
      </x:c>
      <x:c r="AL26" s="20" t="str">
        <x:v>夜间结束时间|排队容忍度</x:v>
      </x:c>
      <x:c r="AM26" s="20" t="str">
        <x:v>从南岸把走过的江岸、山脊和交通重新连起来。</x:v>
      </x:c>
      <x:c r="AN26" s="20" t="str">
        <x:v>排队和天气不理想时改为南岸固定江景，不强求乘索道。</x:v>
      </x:c>
    </x:row>
    <x:row r="27" ht="64" customHeight="1">
      <x:c r="A27" s="20" t="str">
        <x:v>RM22</x:v>
      </x:c>
      <x:c r="B27" s="20" t="str">
        <x:v>D4</x:v>
      </x:c>
      <x:c r="C27" s="20" t="str">
        <x:v>工业艺术</x:v>
      </x:c>
      <x:c r="D27" s="20" t="str">
        <x:v>艺术学院与社区表面</x:v>
      </x:c>
      <x:c r="E27" s="20" t="str">
        <x:v>核心解释</x:v>
      </x:c>
      <x:c r="F27" s="20" t="str">
        <x:v>CQ029|CQ031</x:v>
      </x:c>
      <x:c r="G27" s="20" t="str">
        <x:v>黄桷坪涂鸦街—川美周边</x:v>
      </x:c>
      <x:c r="H27" s="20" t="str">
        <x:v>区分学院艺术、社区生活、委托壁画和商业模仿。</x:v>
      </x:c>
      <x:c r="I27" s="20" t="str">
        <x:v>不是每面墙都值得拍，重点是艺术如何进入社区。</x:v>
      </x:c>
      <x:c r="J27" s="20" t="str">
        <x:v>选择一段街道记录四种不同生产者。</x:v>
      </x:c>
      <x:c r="K27" s="23" t="n">
        <x:v>120</x:v>
      </x:c>
      <x:c r="L27" s="23" t="n">
        <x:v>2</x:v>
      </x:c>
      <x:c r="M27" s="23" t="n">
        <x:v>2</x:v>
      </x:c>
      <x:c r="N27" s="23" t="n">
        <x:v>2</x:v>
      </x:c>
      <x:c r="O27" s="23" t="n">
        <x:v>2</x:v>
      </x:c>
      <x:c r="P27" s="23" t="n">
        <x:v>4</x:v>
      </x:c>
      <x:c r="Q27" s="23" t="n">
        <x:v>3</x:v>
      </x:c>
      <x:c r="R27" s="23" t="n">
        <x:v>2</x:v>
      </x:c>
      <x:c r="S27" s="23" t="n">
        <x:v>3</x:v>
      </x:c>
      <x:c r="T27" s="23" t="n">
        <x:v>5</x:v>
      </x:c>
      <x:c r="U27" s="23" t="n">
        <x:v>4</x:v>
      </x:c>
      <x:c r="V27" s="23" t="n">
        <x:v>78</x:v>
      </x:c>
      <x:c r="W27" s="20" t="str">
        <x:v>艺术社区</x:v>
      </x:c>
      <x:c r="X27" s="20" t="str">
        <x:v>D4B核心</x:v>
      </x:c>
      <x:c r="Y27" s="20" t="str">
        <x:v>https://mzj.cq.gov.cn/sy_218/bmdt/mzyw/t_14233171.html</x:v>
      </x:c>
      <x:c r="Z27" s="20" t="str">
        <x:v>校园或展览不开放时保留社区观察</x:v>
      </x:c>
      <x:c r="AA27" s="20" t="str">
        <x:v>黄桷坪|涂鸦|川美|艺术</x:v>
      </x:c>
      <x:c r="AB27" s="20" t="str">
        <x:v>想找非标准化街区|创作者或艺术兴趣</x:v>
      </x:c>
      <x:c r="AC27" s="23" t="n">
        <x:v>4</x:v>
      </x:c>
      <x:c r="AD27" s="23" t="n">
        <x:v>3</x:v>
      </x:c>
      <x:c r="AE27" s="23" t="n">
        <x:v>5</x:v>
      </x:c>
      <x:c r="AF27" s="23" t="n">
        <x:v>1</x:v>
      </x:c>
      <x:c r="AG27" s="23" t="n">
        <x:v>3</x:v>
      </x:c>
      <x:c r="AH27" s="23" t="n">
        <x:v>5</x:v>
      </x:c>
      <x:c r="AI27" s="23" t="n">
        <x:v>3</x:v>
      </x:c>
      <x:c r="AJ27" s="23" t="n">
        <x:v>5</x:v>
      </x:c>
      <x:c r="AK27" s="20" t="str">
        <x:v>校园或展览不开放时只保留社区观察</x:v>
      </x:c>
      <x:c r="AL27" s="20" t="str">
        <x:v>拍摄用途|展览开放</x:v>
      </x:c>
      <x:c r="AM27" s="20" t="str">
        <x:v>区分学院艺术、社区生活、委托壁画与商业模仿。</x:v>
      </x:c>
      <x:c r="AN27" s="20" t="str">
        <x:v>校园和展览开放可能变化，无法进入时仍可完成社区观察。</x:v>
      </x:c>
    </x:row>
    <x:row r="28" ht="64" customHeight="1">
      <x:c r="A28" s="20" t="str">
        <x:v>RM23</x:v>
      </x:c>
      <x:c r="B28" s="20" t="str">
        <x:v>D4</x:v>
      </x:c>
      <x:c r="C28" s="20" t="str">
        <x:v>工业艺术</x:v>
      </x:c>
      <x:c r="D28" s="20" t="str">
        <x:v>茶馆社会空间</x:v>
      </x:c>
      <x:c r="E28" s="20" t="str">
        <x:v>真实生活/付费体验</x:v>
      </x:c>
      <x:c r="F28" s="20" t="str">
        <x:v>CQ030</x:v>
      </x:c>
      <x:c r="G28" s="20" t="str">
        <x:v>交通茶馆</x:v>
      </x:c>
      <x:c r="H28" s="20" t="str">
        <x:v>进入一个仍在运行的社会空间，而不是安排一次闯入式摄影。</x:v>
      </x:c>
      <x:c r="I28" s="20" t="str">
        <x:v>茶馆的价值来自规则、常客和相处方式。</x:v>
      </x:c>
      <x:c r="J28" s="20" t="str">
        <x:v>先喝茶观察，再经同意拍摄。</x:v>
      </x:c>
      <x:c r="K28" s="23" t="n">
        <x:v>75</x:v>
      </x:c>
      <x:c r="L28" s="23" t="n">
        <x:v>1</x:v>
      </x:c>
      <x:c r="M28" s="23" t="n">
        <x:v>3</x:v>
      </x:c>
      <x:c r="N28" s="23" t="n">
        <x:v>3</x:v>
      </x:c>
      <x:c r="O28" s="23" t="n">
        <x:v>2</x:v>
      </x:c>
      <x:c r="P28" s="23" t="n">
        <x:v>4</x:v>
      </x:c>
      <x:c r="Q28" s="23" t="n">
        <x:v>3</x:v>
      </x:c>
      <x:c r="R28" s="23" t="n">
        <x:v>5</x:v>
      </x:c>
      <x:c r="S28" s="23" t="n">
        <x:v>2</x:v>
      </x:c>
      <x:c r="T28" s="23" t="n">
        <x:v>5</x:v>
      </x:c>
      <x:c r="U28" s="23" t="n">
        <x:v>5</x:v>
      </x:c>
      <x:c r="V28" s="23" t="n">
        <x:v>72</x:v>
      </x:c>
      <x:c r="W28" s="20" t="str">
        <x:v>社区/生活</x:v>
      </x:c>
      <x:c r="X28" s="20" t="str">
        <x:v>严格条件</x:v>
      </x:c>
      <x:c r="Y28" s="20" t="str">
        <x:v>https://mzj.cq.gov.cn/sy_218/bmdt/mzyw/t_14233171.html</x:v>
      </x:c>
      <x:c r="Z28" s="20" t="str">
        <x:v>无店方许可、人数价格和拍摄规则即删除</x:v>
      </x:c>
      <x:c r="AA28" s="20" t="str">
        <x:v>交通茶馆|老茶馆|当地人|人文摄影</x:v>
      </x:c>
      <x:c r="AB28" s="20" t="str">
        <x:v>想与本地人有真实接触|不想被商业化安排</x:v>
      </x:c>
      <x:c r="AC28" s="23" t="n">
        <x:v>2</x:v>
      </x:c>
      <x:c r="AD28" s="23" t="n">
        <x:v>2</x:v>
      </x:c>
      <x:c r="AE28" s="23" t="n">
        <x:v>5</x:v>
      </x:c>
      <x:c r="AF28" s="23" t="n">
        <x:v>4</x:v>
      </x:c>
      <x:c r="AG28" s="23" t="n">
        <x:v>3</x:v>
      </x:c>
      <x:c r="AH28" s="23" t="n">
        <x:v>4</x:v>
      </x:c>
      <x:c r="AI28" s="23" t="n">
        <x:v>2</x:v>
      </x:c>
      <x:c r="AJ28" s="23" t="n">
        <x:v>5</x:v>
      </x:c>
      <x:c r="AK28" s="20" t="str">
        <x:v>无店方许可、价格人数和拍摄规则时删除</x:v>
      </x:c>
      <x:c r="AL28" s="20" t="str">
        <x:v>拍摄许可|人数|价格|社交边界</x:v>
      </x:c>
      <x:c r="AM28" s="20" t="str">
        <x:v>先学习规则再进入仍在运行的社会空间。</x:v>
      </x:c>
      <x:c r="AN28" s="20" t="str">
        <x:v>需遵守店方和常客边界；拍摄、人数、价格必须提前获得同意。</x:v>
      </x:c>
    </x:row>
    <x:row r="29" ht="64" customHeight="1">
      <x:c r="A29" s="21" t="str">
        <x:v>RM24</x:v>
      </x:c>
      <x:c r="B29" s="21" t="str">
        <x:v>D4</x:v>
      </x:c>
      <x:c r="C29" s="21" t="str">
        <x:v>工业艺术</x:v>
      </x:c>
      <x:c r="D29" s="21" t="str">
        <x:v>防空洞、工业与博物馆</x:v>
      </x:c>
      <x:c r="E29" s="21" t="str">
        <x:v>核心解释</x:v>
      </x:c>
      <x:c r="F29" s="21" t="str">
        <x:v>CQ032|CQ033</x:v>
      </x:c>
      <x:c r="G29" s="21" t="str">
        <x:v>建川博物馆聚落—皇冠大扶梯条件使用</x:v>
      </x:c>
      <x:c r="H29" s="21" t="str">
        <x:v>用防空洞空间和工业遗存收束战争、制造业与现代交通。</x:v>
      </x:c>
      <x:c r="I29" s="21" t="str">
        <x:v>先读空间，再看展品；扶梯只是补充交通体验。</x:v>
      </x:c>
      <x:c r="J29" s="21" t="str">
        <x:v>比较洞体、展陈和城市交通的不同时间层。</x:v>
      </x:c>
      <x:c r="K29" s="24" t="n">
        <x:v>190</x:v>
      </x:c>
      <x:c r="L29" s="24" t="n">
        <x:v>2</x:v>
      </x:c>
      <x:c r="M29" s="24" t="n">
        <x:v>3</x:v>
      </x:c>
      <x:c r="N29" s="24" t="n">
        <x:v>3</x:v>
      </x:c>
      <x:c r="O29" s="24" t="n">
        <x:v>3</x:v>
      </x:c>
      <x:c r="P29" s="24" t="n">
        <x:v>4</x:v>
      </x:c>
      <x:c r="Q29" s="24" t="n">
        <x:v>5</x:v>
      </x:c>
      <x:c r="R29" s="24" t="n">
        <x:v>2</x:v>
      </x:c>
      <x:c r="S29" s="24" t="n">
        <x:v>4</x:v>
      </x:c>
      <x:c r="T29" s="24" t="n">
        <x:v>5</x:v>
      </x:c>
      <x:c r="U29" s="24" t="n">
        <x:v>5</x:v>
      </x:c>
      <x:c r="V29" s="24" t="n">
        <x:v>86</x:v>
      </x:c>
      <x:c r="W29" s="21" t="str">
        <x:v>工业/战争</x:v>
      </x:c>
      <x:c r="X29" s="21" t="str">
        <x:v>D4B核心</x:v>
      </x:c>
      <x:c r="Y29" s="21" t="str">
        <x:v>https://whlyw.cq.gov.cn/hdjl_221/xzzq/202601/t20260115_15320860.html</x:v>
      </x:c>
      <x:c r="Z29" s="21" t="str">
        <x:v>英文展陈不足时减少历史承诺</x:v>
      </x:c>
      <x:c r="AA29" s="21" t="str">
        <x:v>防空洞|工业|建川博物馆|扶梯</x:v>
      </x:c>
      <x:c r="AB29" s="21" t="str">
        <x:v>想理解工业和战争|复游者需要新主题</x:v>
      </x:c>
      <x:c r="AC29" s="24" t="n">
        <x:v>4</x:v>
      </x:c>
      <x:c r="AD29" s="24" t="n">
        <x:v>5</x:v>
      </x:c>
      <x:c r="AE29" s="24" t="n">
        <x:v>3</x:v>
      </x:c>
      <x:c r="AF29" s="24" t="n">
        <x:v>1</x:v>
      </x:c>
      <x:c r="AG29" s="24" t="n">
        <x:v>4</x:v>
      </x:c>
      <x:c r="AH29" s="24" t="n">
        <x:v>4</x:v>
      </x:c>
      <x:c r="AI29" s="24" t="n">
        <x:v>4</x:v>
      </x:c>
      <x:c r="AJ29" s="24" t="n">
        <x:v>5</x:v>
      </x:c>
      <x:c r="AK29" s="21" t="str">
        <x:v>英文展陈不足时减少历史承诺</x:v>
      </x:c>
      <x:c r="AL29" s="21" t="str">
        <x:v>开放时间|英语支持</x:v>
      </x:c>
      <x:c r="AM29" s="21" t="str">
        <x:v>先读防空洞空间，再连接战争、制造业与现代交通。</x:v>
      </x:c>
      <x:c r="AN29" s="21" t="str">
        <x:v>场馆开放和英文展陈需复核；扶梯只作为条件交通体验。</x:v>
      </x:c>
    </x:row>
  </x:sheetData>
  <x:mergeCells>
    <x:mergeCell ref="A1:AN1"/>
    <x:mergeCell ref="A2:AN2"/>
  </x:mergeCells>
  <x:conditionalFormatting sqref="L6:N29">
    <x:cfRule type="colorScale" priority="1">
      <x:colorScale>
        <x:cfvo type="min"/>
        <x:cfvo type="percentile" val="50"/>
        <x:cfvo type="max"/>
        <x:color rgb="FFFBE5E5"/>
        <x:color rgb="FFFFF1D6"/>
        <x:color rgb="FFE3F1EA"/>
      </x:colorScale>
    </x:cfRule>
  </x:conditionalFormatting>
  <x:conditionalFormatting sqref="O6:U29">
    <x:cfRule type="colorScale" priority="2">
      <x:colorScale>
        <x:cfvo type="min"/>
        <x:cfvo type="percentile" val="50"/>
        <x:cfvo type="max"/>
        <x:color rgb="FFFBE5E5"/>
        <x:color rgb="FFFFF1D6"/>
        <x:color rgb="FFE3F1EA"/>
      </x:colorScale>
    </x:cfRule>
  </x:conditionalFormatting>
  <x:conditionalFormatting sqref="AC6:AJ29">
    <x:cfRule type="colorScale" priority="3">
      <x:colorScale>
        <x:cfvo type="min"/>
        <x:cfvo type="percentile" val="50"/>
        <x:cfvo type="max"/>
        <x:color rgb="FFFBE5E5"/>
        <x:color rgb="FFFFF1D6"/>
        <x:color rgb="FFE3F1E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dbcb80e71804d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10" hidden="0" customWidth="1"/>
    <x:col min="4" max="4" width="18" hidden="0" customWidth="1"/>
    <x:col min="5" max="5" width="16" hidden="0" customWidth="1"/>
    <x:col min="6" max="6" width="13" hidden="0" customWidth="1"/>
    <x:col min="7" max="7" width="24" hidden="0" customWidth="1"/>
    <x:col min="8" max="8" width="20" hidden="0" customWidth="1"/>
    <x:col min="9" max="9" width="9" hidden="0" customWidth="1"/>
    <x:col min="10" max="10" width="9" hidden="0" customWidth="1"/>
    <x:col min="11" max="11" width="9" hidden="0" customWidth="1"/>
    <x:col min="12" max="12" width="11" hidden="0" customWidth="1"/>
    <x:col min="13" max="13" width="17" hidden="0" customWidth="1"/>
    <x:col min="14" max="14" width="18" hidden="0" customWidth="1"/>
    <x:col min="15" max="15" width="24" hidden="0" customWidth="1"/>
    <x:col min="16" max="16" width="18" hidden="0" customWidth="1"/>
    <x:col min="17" max="17" width="23" hidden="0" customWidth="1"/>
    <x:col min="18" max="18" width="34" hidden="0" customWidth="1"/>
    <x:col min="19" max="19" width="30" hidden="0" customWidth="1"/>
    <x:col min="20" max="20" width="31" hidden="0" customWidth="1"/>
    <x:col min="21" max="21" width="31" hidden="0" customWidth="1"/>
    <x:col min="22" max="22" width="13" hidden="0" customWidth="1"/>
    <x:col min="23" max="23" width="18" hidden="0" customWidth="1"/>
    <x:col min="24" max="24" width="10" hidden="0" customWidth="1"/>
    <x:col min="25" max="25" width="11" hidden="0" customWidth="1"/>
    <x:col min="26" max="26" width="10" hidden="0" customWidth="1"/>
    <x:col min="27" max="27" width="16" hidden="0" customWidth="1"/>
    <x:col min="28" max="28" width="16" hidden="0" customWidth="1"/>
    <x:col min="29" max="29" width="31" hidden="0" customWidth="1"/>
    <x:col min="30" max="30" width="17" hidden="0" customWidth="1"/>
    <x:col min="31" max="31" width="26" hidden="0" customWidth="1"/>
    <x:col min="32" max="32" width="38" hidden="0" customWidth="1"/>
    <x:col min="33" max="33" width="34" hidden="0" customWidth="1"/>
    <x:col min="34" max="34" width="12" hidden="0" customWidth="1"/>
  </x:cols>
  <x:sheetData>
    <x:row r="1" ht="32" customHeight="1">
      <x:c r="A1" s="3" t="str">
        <x:v>重庆主城｜点位内容母库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2" ht="30" customHeight="1">
      <x:c r="A2" s="7" t="str">
        <x:v>点位不是游客输出单位。该表保存完整事实、解释、风险和选择标签；真正对客输出由路线模块和输出器控制。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</x:row>
    <x:row r="5" ht="34" customHeight="1">
      <x:c r="A5" s="11" t="str">
        <x:v>ID</x:v>
      </x:c>
      <x:c r="B5" s="11" t="str">
        <x:v>地点/体验</x:v>
      </x:c>
      <x:c r="C5" s="11" t="str">
        <x:v>区域</x:v>
      </x:c>
      <x:c r="D5" s="11" t="str">
        <x:v>原始模块</x:v>
      </x:c>
      <x:c r="E5" s="11" t="str">
        <x:v>类型</x:v>
      </x:c>
      <x:c r="F5" s="11" t="str">
        <x:v>研究推荐</x:v>
      </x:c>
      <x:c r="G5" s="11" t="str">
        <x:v>产品角色</x:v>
      </x:c>
      <x:c r="H5" s="11" t="str">
        <x:v>原适合客群</x:v>
      </x:c>
      <x:c r="I5" s="11" t="str">
        <x:v>产品分</x:v>
      </x:c>
      <x:c r="J5" s="11" t="str">
        <x:v>证据分</x:v>
      </x:c>
      <x:c r="K5" s="11" t="str">
        <x:v>证据等级</x:v>
      </x:c>
      <x:c r="L5" s="11" t="str">
        <x:v>停留(分钟)</x:v>
      </x:c>
      <x:c r="M5" s="11" t="str">
        <x:v>最佳时段</x:v>
      </x:c>
      <x:c r="N5" s="11" t="str">
        <x:v>交通</x:v>
      </x:c>
      <x:c r="O5" s="11" t="str">
        <x:v>外国人摩擦</x:v>
      </x:c>
      <x:c r="P5" s="11" t="str">
        <x:v>天气/体力</x:v>
      </x:c>
      <x:c r="Q5" s="11" t="str">
        <x:v>风险</x:v>
      </x:c>
      <x:c r="R5" s="11" t="str">
        <x:v>深层解释</x:v>
      </x:c>
      <x:c r="S5" s="11" t="str">
        <x:v>游客观察任务</x:v>
      </x:c>
      <x:c r="T5" s="11" t="str">
        <x:v>来源URL1</x:v>
      </x:c>
      <x:c r="U5" s="11" t="str">
        <x:v>来源URL2</x:v>
      </x:c>
      <x:c r="V5" s="11" t="str">
        <x:v>检查日期</x:v>
      </x:c>
      <x:c r="W5" s="11" t="str">
        <x:v>内容角色</x:v>
      </x:c>
      <x:c r="X5" s="11" t="str">
        <x:v>海外引流力</x:v>
      </x:c>
      <x:c r="Y5" s="11" t="str">
        <x:v>到访满意度</x:v>
      </x:c>
      <x:c r="Z5" s="11" t="str">
        <x:v>付费潜力</x:v>
      </x:c>
      <x:c r="AA5" s="11" t="str">
        <x:v>默认输出级别</x:v>
      </x:c>
      <x:c r="AB5" s="11" t="str">
        <x:v>重复组</x:v>
      </x:c>
      <x:c r="AC5" s="11" t="str">
        <x:v>客群标签</x:v>
      </x:c>
      <x:c r="AD5" s="11" t="str">
        <x:v>适合输出长度</x:v>
      </x:c>
      <x:c r="AE5" s="11" t="str">
        <x:v>游客输出标题</x:v>
      </x:c>
      <x:c r="AF5" s="11" t="str">
        <x:v>对外一句话</x:v>
      </x:c>
      <x:c r="AG5" s="11" t="str">
        <x:v>内部删减规则</x:v>
      </x:c>
      <x:c r="AH5" s="11" t="str">
        <x:v>输出优先分</x:v>
      </x:c>
    </x:row>
    <x:row r="6" ht="56" customHeight="1">
      <x:c r="A6" s="19" t="str">
        <x:v>CQ001</x:v>
      </x:c>
      <x:c r="B6" s="19" t="str">
        <x:v>解放碑纪念碑及步行街</x:v>
      </x:c>
      <x:c r="C6" s="19" t="str">
        <x:v>渝中</x:v>
      </x:c>
      <x:c r="D6" s="19" t="str">
        <x:v>D1立体城市</x:v>
      </x:c>
      <x:c r="E6" s="19" t="str">
        <x:v>城市地标</x:v>
      </x:c>
      <x:c r="F6" s="19" t="str">
        <x:v>必去核心</x:v>
      </x:c>
      <x:c r="G6" s="19" t="str">
        <x:v>方向与时间锚点</x:v>
      </x:c>
      <x:c r="H6" s="19" t="str">
        <x:v>首次来渝/城市观察</x:v>
      </x:c>
      <x:c r="I6" s="22" t="n">
        <x:v>88</x:v>
      </x:c>
      <x:c r="J6" s="22" t="n">
        <x:v>80</x:v>
      </x:c>
      <x:c r="K6" s="19" t="str">
        <x:v>B</x:v>
      </x:c>
      <x:c r="L6" s="22" t="n">
        <x:v>30</x:v>
      </x:c>
      <x:c r="M6" s="19" t="str">
        <x:v>09:00前或夜间</x:v>
      </x:c>
      <x:c r="N6" s="19" t="str">
        <x:v>较场口/临江门步行</x:v>
      </x:c>
      <x:c r="O6" s="19" t="str">
        <x:v>商业区英语较好；需解释碑而非只说CBD</x:v>
      </x:c>
      <x:c r="P6" s="19" t="str">
        <x:v>雨天可保留</x:v>
      </x:c>
      <x:c r="Q6" s="19" t="str">
        <x:v>节假日封控、人流</x:v>
      </x:c>
      <x:c r="R6" s="19" t="str">
        <x:v>从战争纪念物到商业中心的城市中心迁移</x:v>
      </x:c>
      <x:c r="S6" s="19" t="str">
        <x:v>辨认碑文、道路放射与人流方向</x:v>
      </x:c>
      <x:c r="T6" s="19" t="str">
        <x:v>https://www.cq.gov.cn/ywdt/zwhd/qxdt/202009/t20200907_8628081.html</x:v>
      </x:c>
      <x:c r="U6" s="19" t="str">
        <x:v>https://www.reddit.com/r/travelchina/comments/1qvjkgb/chongqing_25_days_itinerary/</x:v>
      </x:c>
      <x:c r="V6" s="19" t="str">
        <x:v>2026-07-28</x:v>
      </x:c>
      <x:c r="W6" s="19" t="str">
        <x:v>核心解释</x:v>
      </x:c>
      <x:c r="X6" s="22" t="n">
        <x:v>4</x:v>
      </x:c>
      <x:c r="Y6" s="22" t="n">
        <x:v>2</x:v>
      </x:c>
      <x:c r="Z6" s="22" t="n">
        <x:v>2</x:v>
      </x:c>
      <x:c r="AA6" s="19" t="str">
        <x:v>B 按兴趣</x:v>
      </x:c>
      <x:c r="AB6" s="19" t="str">
        <x:v>独立主题</x:v>
      </x:c>
      <x:c r="AC6" s="19" t="str">
        <x:v>文化历史|首次经典</x:v>
      </x:c>
      <x:c r="AD6" s="19" t="str">
        <x:v>标准|深度</x:v>
      </x:c>
      <x:c r="AE6" s="19" t="str">
        <x:v>方向与时间锚点</x:v>
      </x:c>
      <x:c r="AF6" s="19" t="str">
        <x:v>方向与时间锚点。从战争纪念物到商业中心的城市中心迁移</x:v>
      </x:c>
      <x:c r="AG6" s="19" t="str">
        <x:v>节假日封控、人流</x:v>
      </x:c>
      <x:c r="AH6" s="22" t="n">
        <x:f>ROUND(I6*'参数字典'!$B$16+J6*'参数字典'!$B$17+X6*20*'参数字典'!$B$18+Y6*20*'参数字典'!$B$19+Z6*20*'参数字典'!$B$20,0)</x:f>
        <x:v>64</x:v>
      </x:c>
    </x:row>
    <x:row r="7" ht="56" customHeight="1">
      <x:c r="A7" s="20" t="str">
        <x:v>CQ002</x:v>
      </x:c>
      <x:c r="B7" s="20" t="str">
        <x:v>罗汉寺</x:v>
      </x:c>
      <x:c r="C7" s="20" t="str">
        <x:v>渝中</x:v>
      </x:c>
      <x:c r="D7" s="20" t="str">
        <x:v>D1立体城市</x:v>
      </x:c>
      <x:c r="E7" s="20" t="str">
        <x:v>宗教建筑</x:v>
      </x:c>
      <x:c r="F7" s="20" t="str">
        <x:v>深度推荐</x:v>
      </x:c>
      <x:c r="G7" s="20" t="str">
        <x:v>摩天楼夹缝中的宗教空间</x:v>
      </x:c>
      <x:c r="H7" s="20" t="str">
        <x:v>文化/建筑/摄影</x:v>
      </x:c>
      <x:c r="I7" s="23" t="n">
        <x:v>84</x:v>
      </x:c>
      <x:c r="J7" s="23" t="n">
        <x:v>63</x:v>
      </x:c>
      <x:c r="K7" s="20" t="str">
        <x:v>C</x:v>
      </x:c>
      <x:c r="L7" s="23" t="n">
        <x:v>45</x:v>
      </x:c>
      <x:c r="M7" s="20" t="str">
        <x:v>上午</x:v>
      </x:c>
      <x:c r="N7" s="20" t="str">
        <x:v>小什字步行</x:v>
      </x:c>
      <x:c r="O7" s="20" t="str">
        <x:v>英文解释与礼仪提示不足</x:v>
      </x:c>
      <x:c r="P7" s="20" t="str">
        <x:v>雨天核心</x:v>
      </x:c>
      <x:c r="Q7" s="20" t="str">
        <x:v>宗教礼仪、香火与拍摄边界</x:v>
      </x:c>
      <x:c r="R7" s="20" t="str">
        <x:v>不要只讲电影取景；讲城市密度与宗教日常</x:v>
      </x:c>
      <x:c r="S7" s="20" t="str">
        <x:v>观察寺门外商业噪音如何被院落切断</x:v>
      </x:c>
      <x:c r="T7" s="20" t="str">
        <x:v>https://www.cq.gov.cn/zwgk/zfxxgkml/zdlyxxgk/ggwh/ly/zxdt/202511/t20251107_15146900.html</x:v>
      </x:c>
      <x:c r="U7" s="20" t="str">
        <x:v>https://www.reddit.com/r/travelchina/comments/1qvjkgb/chongqing_25_days_itinerary/</x:v>
      </x:c>
      <x:c r="V7" s="20" t="str">
        <x:v>2026-07-28</x:v>
      </x:c>
      <x:c r="W7" s="20" t="str">
        <x:v>核心解释</x:v>
      </x:c>
      <x:c r="X7" s="23" t="n">
        <x:v>3</x:v>
      </x:c>
      <x:c r="Y7" s="23" t="n">
        <x:v>4</x:v>
      </x:c>
      <x:c r="Z7" s="23" t="n">
        <x:v>2</x:v>
      </x:c>
      <x:c r="AA7" s="20" t="str">
        <x:v>B 按兴趣</x:v>
      </x:c>
      <x:c r="AB7" s="20" t="str">
        <x:v>独立主题</x:v>
      </x:c>
      <x:c r="AC7" s="20" t="str">
        <x:v>赛博摄影|文化历史|首次经典</x:v>
      </x:c>
      <x:c r="AD7" s="20" t="str">
        <x:v>标准|深度</x:v>
      </x:c>
      <x:c r="AE7" s="20" t="str">
        <x:v>摩天楼夹缝中的宗教空间</x:v>
      </x:c>
      <x:c r="AF7" s="20" t="str">
        <x:v>摩天楼夹缝中的宗教空间。不要只讲电影取景；讲城市密度与宗教日常</x:v>
      </x:c>
      <x:c r="AG7" s="20" t="str">
        <x:v>宗教礼仪、香火与拍摄边界</x:v>
      </x:c>
      <x:c r="AH7" s="23" t="n">
        <x:f>ROUND(I7*'参数字典'!$B$16+J7*'参数字典'!$B$17+X7*20*'参数字典'!$B$18+Y7*20*'参数字典'!$B$19+Z7*20*'参数字典'!$B$20,0)</x:f>
        <x:v>68</x:v>
      </x:c>
    </x:row>
    <x:row r="8" ht="56" customHeight="1">
      <x:c r="A8" s="20" t="str">
        <x:v>CQ003</x:v>
      </x:c>
      <x:c r="B8" s="20" t="str">
        <x:v>魁星楼与高差平台</x:v>
      </x:c>
      <x:c r="C8" s="20" t="str">
        <x:v>渝中</x:v>
      </x:c>
      <x:c r="D8" s="20" t="str">
        <x:v>D1立体城市</x:v>
      </x:c>
      <x:c r="E8" s="20" t="str">
        <x:v>垂直空间</x:v>
      </x:c>
      <x:c r="F8" s="20" t="str">
        <x:v>必去核心</x:v>
      </x:c>
      <x:c r="G8" s="20" t="str">
        <x:v>第一处多重地面演示</x:v>
      </x:c>
      <x:c r="H8" s="20" t="str">
        <x:v>首次来渝/建筑/摄影</x:v>
      </x:c>
      <x:c r="I8" s="23" t="n">
        <x:v>87</x:v>
      </x:c>
      <x:c r="J8" s="23" t="n">
        <x:v>72</x:v>
      </x:c>
      <x:c r="K8" s="20" t="str">
        <x:v>B</x:v>
      </x:c>
      <x:c r="L8" s="23" t="n">
        <x:v>30</x:v>
      </x:c>
      <x:c r="M8" s="20" t="str">
        <x:v>上午或蓝调时刻</x:v>
      </x:c>
      <x:c r="N8" s="20" t="str">
        <x:v>临江门步行</x:v>
      </x:c>
      <x:c r="O8" s="20" t="str">
        <x:v>入口层级和地图误差</x:v>
      </x:c>
      <x:c r="P8" s="20" t="str">
        <x:v>小雨可；大雨防滑</x:v>
      </x:c>
      <x:c r="Q8" s="20" t="str">
        <x:v>商业楼内外边界、拥挤</x:v>
      </x:c>
      <x:c r="R8" s="20" t="str">
        <x:v>把“22层是广场”解释为多重地面与连接系统</x:v>
      </x:c>
      <x:c r="S8" s="20" t="str">
        <x:v>让游客先预测自己在几层，再走到桥面校正</x:v>
      </x:c>
      <x:c r="T8" s="20" t="str">
        <x:v>https://doi.org/10.17645/up.v7i4.5810</x:v>
      </x:c>
      <x:c r="U8" s="20" t="str">
        <x:v>https://www.reddit.com/r/travelchina/comments/1t4cdvm/help_planning_chongqing/</x:v>
      </x:c>
      <x:c r="V8" s="20" t="str">
        <x:v>2026-07-28</x:v>
      </x:c>
      <x:c r="W8" s="20" t="str">
        <x:v>引流钩子</x:v>
      </x:c>
      <x:c r="X8" s="23" t="n">
        <x:v>5</x:v>
      </x:c>
      <x:c r="Y8" s="23" t="n">
        <x:v>5</x:v>
      </x:c>
      <x:c r="Z8" s="23" t="n">
        <x:v>4</x:v>
      </x:c>
      <x:c r="AA8" s="20" t="str">
        <x:v>A 必须</x:v>
      </x:c>
      <x:c r="AB8" s="20" t="str">
        <x:v>独立主题</x:v>
      </x:c>
      <x:c r="AC8" s="20" t="str">
        <x:v>赛博摄影|首次经典</x:v>
      </x:c>
      <x:c r="AD8" s="20" t="str">
        <x:v>精简|标准|深度</x:v>
      </x:c>
      <x:c r="AE8" s="20" t="str">
        <x:v>第一处多重地面演示</x:v>
      </x:c>
      <x:c r="AF8" s="20" t="str">
        <x:v>第一处多重地面演示。把“22层是广场”解释为多重地面与连接系统</x:v>
      </x:c>
      <x:c r="AG8" s="20" t="str">
        <x:v>商业楼内外边界、拥挤</x:v>
      </x:c>
      <x:c r="AH8" s="23" t="n">
        <x:f>ROUND(I8*'参数字典'!$B$16+J8*'参数字典'!$B$17+X8*20*'参数字典'!$B$18+Y8*20*'参数字典'!$B$19+Z8*20*'参数字典'!$B$20,0)</x:f>
        <x:v>90</x:v>
      </x:c>
    </x:row>
    <x:row r="9" ht="56" customHeight="1">
      <x:c r="A9" s="20" t="str">
        <x:v>CQ004</x:v>
      </x:c>
      <x:c r="B9" s="20" t="str">
        <x:v>朝天门与两江交汇江岸</x:v>
      </x:c>
      <x:c r="C9" s="20" t="str">
        <x:v>渝中</x:v>
      </x:c>
      <x:c r="D9" s="20" t="str">
        <x:v>D1立体城市</x:v>
      </x:c>
      <x:c r="E9" s="20" t="str">
        <x:v>港口/城市景观</x:v>
      </x:c>
      <x:c r="F9" s="20" t="str">
        <x:v>必去核心</x:v>
      </x:c>
      <x:c r="G9" s="20" t="str">
        <x:v>城市门户与两江关系</x:v>
      </x:c>
      <x:c r="H9" s="20" t="str">
        <x:v>首次来渝/城市史</x:v>
      </x:c>
      <x:c r="I9" s="23" t="n">
        <x:v>98</x:v>
      </x:c>
      <x:c r="J9" s="23" t="n">
        <x:v>81</x:v>
      </x:c>
      <x:c r="K9" s="20" t="str">
        <x:v>B</x:v>
      </x:c>
      <x:c r="L9" s="23" t="n">
        <x:v>75</x:v>
      </x:c>
      <x:c r="M9" s="20" t="str">
        <x:v>下午或日落前</x:v>
      </x:c>
      <x:c r="N9" s="20" t="str">
        <x:v>朝天门站/步行</x:v>
      </x:c>
      <x:c r="O9" s="20" t="str">
        <x:v>地下出口复杂；外部江岸入口易错</x:v>
      </x:c>
      <x:c r="P9" s="20" t="str">
        <x:v>暴雨转来福士室内观察</x:v>
      </x:c>
      <x:c r="Q9" s="20" t="str">
        <x:v>江岸施工、活动管制、暴晒</x:v>
      </x:c>
      <x:c r="R9" s="20" t="str">
        <x:v>朝天门不是购物中心；它是城门、码头与通江达海的门户</x:v>
      </x:c>
      <x:c r="S9" s="20" t="str">
        <x:v>找长江与嘉陵江水色、流向和半岛尖端</x:v>
      </x:c>
      <x:c r="T9" s="20" t="str">
        <x:v>https://www.cq.gov.cn/zwgk/zfxxgkml/zdlyxxgk/ggwh/ly/zxdt/202511/t20251107_15146900.html</x:v>
      </x:c>
      <x:c r="U9" s="20" t="str">
        <x:v>https://www.cq.gov.cn/ywdt/zwhd/qxdt/202009/t20200907_8628081.html</x:v>
      </x:c>
      <x:c r="V9" s="20" t="str">
        <x:v>2026-07-28</x:v>
      </x:c>
      <x:c r="W9" s="20" t="str">
        <x:v>引流钩子</x:v>
      </x:c>
      <x:c r="X9" s="23" t="n">
        <x:v>5</x:v>
      </x:c>
      <x:c r="Y9" s="23" t="n">
        <x:v>5</x:v>
      </x:c>
      <x:c r="Z9" s="23" t="n">
        <x:v>4</x:v>
      </x:c>
      <x:c r="AA9" s="20" t="str">
        <x:v>A 必须</x:v>
      </x:c>
      <x:c r="AB9" s="20" t="str">
        <x:v>独立主题</x:v>
      </x:c>
      <x:c r="AC9" s="20" t="str">
        <x:v>赛博摄影|首次经典</x:v>
      </x:c>
      <x:c r="AD9" s="20" t="str">
        <x:v>精简|标准|深度</x:v>
      </x:c>
      <x:c r="AE9" s="20" t="str">
        <x:v>城市门户与两江关系</x:v>
      </x:c>
      <x:c r="AF9" s="20" t="str">
        <x:v>城市门户与两江关系。朝天门不是购物中心；它是城门、码头与通江达海的门户</x:v>
      </x:c>
      <x:c r="AG9" s="20" t="str">
        <x:v>江岸施工、活动管制、暴晒</x:v>
      </x:c>
      <x:c r="AH9" s="23" t="n">
        <x:f>ROUND(I9*'参数字典'!$B$16+J9*'参数字典'!$B$17+X9*20*'参数字典'!$B$18+Y9*20*'参数字典'!$B$19+Z9*20*'参数字典'!$B$20,0)</x:f>
        <x:v>94</x:v>
      </x:c>
    </x:row>
    <x:row r="10" ht="56" customHeight="1">
      <x:c r="A10" s="20" t="str">
        <x:v>CQ005</x:v>
      </x:c>
      <x:c r="B10" s="20" t="str">
        <x:v>洪崖洞外观与层级</x:v>
      </x:c>
      <x:c r="C10" s="20" t="str">
        <x:v>渝中</x:v>
      </x:c>
      <x:c r="D10" s="20" t="str">
        <x:v>D1立体城市</x:v>
      </x:c>
      <x:c r="E10" s="20" t="str">
        <x:v>夜景/更新</x:v>
      </x:c>
      <x:c r="F10" s="20" t="str">
        <x:v>必去核心</x:v>
      </x:c>
      <x:c r="G10" s="20" t="str">
        <x:v>视觉钩子但内部限时</x:v>
      </x:c>
      <x:c r="H10" s="20" t="str">
        <x:v>首次来渝/摄影</x:v>
      </x:c>
      <x:c r="I10" s="23" t="n">
        <x:v>80</x:v>
      </x:c>
      <x:c r="J10" s="23" t="n">
        <x:v>73</x:v>
      </x:c>
      <x:c r="K10" s="20" t="str">
        <x:v>B</x:v>
      </x:c>
      <x:c r="L10" s="23" t="n">
        <x:v>45</x:v>
      </x:c>
      <x:c r="M10" s="20" t="str">
        <x:v>亮灯后</x:v>
      </x:c>
      <x:c r="N10" s="20" t="str">
        <x:v>步行至千厮门/大剧院对岸</x:v>
      </x:c>
      <x:c r="O10" s="20" t="str">
        <x:v>人流与出口；内部商业同质</x:v>
      </x:c>
      <x:c r="P10" s="20" t="str">
        <x:v>大雨删除或隔江看</x:v>
      </x:c>
      <x:c r="Q10" s="20" t="str">
        <x:v>节假日封路、内部拥挤</x:v>
      </x:c>
      <x:c r="R10" s="20" t="str">
        <x:v>把历史吊脚楼意象、2000年代重建和城市品牌分开讲</x:v>
      </x:c>
      <x:c r="S10" s="20" t="str">
        <x:v>比较内部商业体验与外部整体视角</x:v>
      </x:c>
      <x:c r="T10" s="20" t="str">
        <x:v>https://doi.org/10.17645/up.v7i4.5810</x:v>
      </x:c>
      <x:c r="U10" s="20" t="str">
        <x:v>https://eprints.whiterose.ac.uk/id/eprint/185301/</x:v>
      </x:c>
      <x:c r="V10" s="20" t="str">
        <x:v>2026-07-28</x:v>
      </x:c>
      <x:c r="W10" s="20" t="str">
        <x:v>引流钩子</x:v>
      </x:c>
      <x:c r="X10" s="23" t="n">
        <x:v>5</x:v>
      </x:c>
      <x:c r="Y10" s="23" t="n">
        <x:v>4</x:v>
      </x:c>
      <x:c r="Z10" s="23" t="n">
        <x:v>2</x:v>
      </x:c>
      <x:c r="AA10" s="20" t="str">
        <x:v>B 按兴趣</x:v>
      </x:c>
      <x:c r="AB10" s="20" t="str">
        <x:v>夜景/观景</x:v>
      </x:c>
      <x:c r="AC10" s="20" t="str">
        <x:v>赛博摄影|文化历史|首次经典</x:v>
      </x:c>
      <x:c r="AD10" s="20" t="str">
        <x:v>标准|深度</x:v>
      </x:c>
      <x:c r="AE10" s="20" t="str">
        <x:v>视觉钩子但内部限时</x:v>
      </x:c>
      <x:c r="AF10" s="20" t="str">
        <x:v>视觉钩子但内部限时。把历史吊脚楼意象、2000年代重建和城市品牌分开讲</x:v>
      </x:c>
      <x:c r="AG10" s="20" t="str">
        <x:v>只输出外观与层级；内部限时30—45分钟</x:v>
      </x:c>
      <x:c r="AH10" s="23" t="n">
        <x:f>ROUND(I10*'参数字典'!$B$16+J10*'参数字典'!$B$17+X10*20*'参数字典'!$B$18+Y10*20*'参数字典'!$B$19+Z10*20*'参数字典'!$B$20,0)</x:f>
        <x:v>77</x:v>
      </x:c>
    </x:row>
    <x:row r="11" ht="56" customHeight="1">
      <x:c r="A11" s="20" t="str">
        <x:v>CQ006</x:v>
      </x:c>
      <x:c r="B11" s="20" t="str">
        <x:v>千厮门大桥—大剧院江岸视角</x:v>
      </x:c>
      <x:c r="C11" s="20" t="str">
        <x:v>江北</x:v>
      </x:c>
      <x:c r="D11" s="20" t="str">
        <x:v>D1立体城市</x:v>
      </x:c>
      <x:c r="E11" s="20" t="str">
        <x:v>桥梁/夜景</x:v>
      </x:c>
      <x:c r="F11" s="20" t="str">
        <x:v>必去核心</x:v>
      </x:c>
      <x:c r="G11" s="20" t="str">
        <x:v>主城夜景的外部读图位</x:v>
      </x:c>
      <x:c r="H11" s="20" t="str">
        <x:v>摄影/建筑/首次来渝</x:v>
      </x:c>
      <x:c r="I11" s="23" t="n">
        <x:v>91</x:v>
      </x:c>
      <x:c r="J11" s="23" t="n">
        <x:v>81</x:v>
      </x:c>
      <x:c r="K11" s="20" t="str">
        <x:v>B</x:v>
      </x:c>
      <x:c r="L11" s="23" t="n">
        <x:v>75</x:v>
      </x:c>
      <x:c r="M11" s="20" t="str">
        <x:v>蓝调至夜间</x:v>
      </x:c>
      <x:c r="N11" s="20" t="str">
        <x:v>大剧院站/步行</x:v>
      </x:c>
      <x:c r="O11" s="20" t="str">
        <x:v>桥面风大；活动时封控</x:v>
      </x:c>
      <x:c r="P11" s="20" t="str">
        <x:v>雨天在大剧院周边有顶空间</x:v>
      </x:c>
      <x:c r="Q11" s="20" t="str">
        <x:v>桥面管制、无人机表演大客流</x:v>
      </x:c>
      <x:c r="R11" s="20" t="str">
        <x:v>不挤进洪崖洞，用桥、崖、江和楼群解释整体空间</x:v>
      </x:c>
      <x:c r="S11" s="20" t="str">
        <x:v>从对岸指出洪崖洞、解放碑高地和朝天门</x:v>
      </x:c>
      <x:c r="T11" s="20" t="str">
        <x:v>https://www.cq.gov.cn/zwgk/zfxxgkml/zdlyxxgk/ggwh/ly/zxdt/202511/t20251107_15146900.html</x:v>
      </x:c>
      <x:c r="U11" s="20" t="str">
        <x:v>https://www.cq.gov.cn/ywdt/jrcq/202605/t20260531_15716501_app.html</x:v>
      </x:c>
      <x:c r="V11" s="20" t="str">
        <x:v>2026-07-28</x:v>
      </x:c>
      <x:c r="W11" s="20" t="str">
        <x:v>引流钩子</x:v>
      </x:c>
      <x:c r="X11" s="23" t="n">
        <x:v>5</x:v>
      </x:c>
      <x:c r="Y11" s="23" t="n">
        <x:v>5</x:v>
      </x:c>
      <x:c r="Z11" s="23" t="n">
        <x:v>4</x:v>
      </x:c>
      <x:c r="AA11" s="20" t="str">
        <x:v>A 必须</x:v>
      </x:c>
      <x:c r="AB11" s="20" t="str">
        <x:v>夜景/观景</x:v>
      </x:c>
      <x:c r="AC11" s="20" t="str">
        <x:v>赛博摄影|首次经典</x:v>
      </x:c>
      <x:c r="AD11" s="20" t="str">
        <x:v>精简|标准|深度</x:v>
      </x:c>
      <x:c r="AE11" s="20" t="str">
        <x:v>主城夜景的外部读图位</x:v>
      </x:c>
      <x:c r="AF11" s="20" t="str">
        <x:v>主城夜景的外部读图位。不挤进洪崖洞，用桥、崖、江和楼群解释整体空间</x:v>
      </x:c>
      <x:c r="AG11" s="20" t="str">
        <x:v>桥面管制、无人机表演大客流</x:v>
      </x:c>
      <x:c r="AH11" s="23" t="n">
        <x:f>ROUND(I11*'参数字典'!$B$16+J11*'参数字典'!$B$17+X11*20*'参数字典'!$B$18+Y11*20*'参数字典'!$B$19+Z11*20*'参数字典'!$B$20,0)</x:f>
        <x:v>92</x:v>
      </x:c>
    </x:row>
    <x:row r="12" ht="56" customHeight="1">
      <x:c r="A12" s="20" t="str">
        <x:v>CQ007</x:v>
      </x:c>
      <x:c r="B12" s="20" t="str">
        <x:v>“新韵重庆”无人机灯光秀</x:v>
      </x:c>
      <x:c r="C12" s="20" t="str">
        <x:v>两江四岸</x:v>
      </x:c>
      <x:c r="D12" s="20" t="str">
        <x:v>D1立体城市</x:v>
      </x:c>
      <x:c r="E12" s="20" t="str">
        <x:v>城市演出</x:v>
      </x:c>
      <x:c r="F12" s="20" t="str">
        <x:v>条件推荐</x:v>
      </x:c>
      <x:c r="G12" s="20" t="str">
        <x:v>周六/节假日现代城市模块</x:v>
      </x:c>
      <x:c r="H12" s="20" t="str">
        <x:v>亲子/摄影/首次来渝</x:v>
      </x:c>
      <x:c r="I12" s="23" t="n">
        <x:v>80</x:v>
      </x:c>
      <x:c r="J12" s="23" t="n">
        <x:v>85</x:v>
      </x:c>
      <x:c r="K12" s="20" t="str">
        <x:v>A</x:v>
      </x:c>
      <x:c r="L12" s="23" t="n">
        <x:v>40</x:v>
      </x:c>
      <x:c r="M12" s="20" t="str">
        <x:v>官方当月公告</x:v>
      </x:c>
      <x:c r="N12" s="20" t="str">
        <x:v>朝天门/江北嘴/南滨路</x:v>
      </x:c>
      <x:c r="O12" s="20" t="str">
        <x:v>无需语言但需疏散提示</x:v>
      </x:c>
      <x:c r="P12" s="20" t="str">
        <x:v>天气取消则普通夜景</x:v>
      </x:c>
      <x:c r="Q12" s="20" t="str">
        <x:v>临时取消、交通管制、拥挤</x:v>
      </x:c>
      <x:c r="R12" s="20" t="str">
        <x:v>把它作为当代城市品牌和治理能力，不当作历史文化</x:v>
      </x:c>
      <x:c r="S12" s="20" t="str">
        <x:v>比较不同岸线的视角、风向和人流组织</x:v>
      </x:c>
      <x:c r="T12" s="20" t="str">
        <x:v>https://www.cq.gov.cn/ywdt/jrcq/202605/t20260531_15716501_app.html</x:v>
      </x:c>
      <x:c r="U12" s="20" t="str">
        <x:v>https://eprints.whiterose.ac.uk/id/eprint/185301/</x:v>
      </x:c>
      <x:c r="V12" s="20" t="str">
        <x:v>2026-07-28</x:v>
      </x:c>
      <x:c r="W12" s="20" t="str">
        <x:v>引流钩子/付费体验</x:v>
      </x:c>
      <x:c r="X12" s="23" t="n">
        <x:v>5</x:v>
      </x:c>
      <x:c r="Y12" s="23" t="n">
        <x:v>2</x:v>
      </x:c>
      <x:c r="Z12" s="23" t="n">
        <x:v>2</x:v>
      </x:c>
      <x:c r="AA12" s="20" t="str">
        <x:v>B 按兴趣</x:v>
      </x:c>
      <x:c r="AB12" s="20" t="str">
        <x:v>夜景/观景</x:v>
      </x:c>
      <x:c r="AC12" s="20" t="str">
        <x:v>赛博摄影|文化历史|亲子轻松|首次经典</x:v>
      </x:c>
      <x:c r="AD12" s="20" t="str">
        <x:v>标准|深度</x:v>
      </x:c>
      <x:c r="AE12" s="20" t="str">
        <x:v>周六/节假日现代城市模块</x:v>
      </x:c>
      <x:c r="AF12" s="20" t="str">
        <x:v>周六/节假日现代城市模块。把它作为当代城市品牌和治理能力，不当作历史文化</x:v>
      </x:c>
      <x:c r="AG12" s="20" t="str">
        <x:v>无官方当日排期即删除</x:v>
      </x:c>
      <x:c r="AH12" s="23" t="n">
        <x:f>ROUND(I12*'参数字典'!$B$16+J12*'参数字典'!$B$17+X12*20*'参数字典'!$B$18+Y12*20*'参数字典'!$B$19+Z12*20*'参数字典'!$B$20,0)</x:f>
        <x:v>67</x:v>
      </x:c>
    </x:row>
    <x:row r="13" ht="56" customHeight="1">
      <x:c r="A13" s="20" t="str">
        <x:v>CQ008</x:v>
      </x:c>
      <x:c r="B13" s="20" t="str">
        <x:v>重庆湖广会馆</x:v>
      </x:c>
      <x:c r="C13" s="20" t="str">
        <x:v>渝中</x:v>
      </x:c>
      <x:c r="D13" s="20" t="str">
        <x:v>D2母城城门</x:v>
      </x:c>
      <x:c r="E13" s="20" t="str">
        <x:v>会馆/移民史</x:v>
      </x:c>
      <x:c r="F13" s="20" t="str">
        <x:v>必去核心</x:v>
      </x:c>
      <x:c r="G13" s="20" t="str">
        <x:v>人口迁徙与城市商业的入口</x:v>
      </x:c>
      <x:c r="H13" s="20" t="str">
        <x:v>文化/建筑/亲子</x:v>
      </x:c>
      <x:c r="I13" s="23" t="n">
        <x:v>90</x:v>
      </x:c>
      <x:c r="J13" s="23" t="n">
        <x:v>81</x:v>
      </x:c>
      <x:c r="K13" s="20" t="str">
        <x:v>B</x:v>
      </x:c>
      <x:c r="L13" s="23" t="n">
        <x:v>90</x:v>
      </x:c>
      <x:c r="M13" s="20" t="str">
        <x:v>开馆即入</x:v>
      </x:c>
      <x:c r="N13" s="20" t="str">
        <x:v>小什字8号口+东水门电梯</x:v>
      </x:c>
      <x:c r="O13" s="20" t="str">
        <x:v>护照购票、英文讲解覆盖待核验</x:v>
      </x:c>
      <x:c r="P13" s="20" t="str">
        <x:v>雨天核心</x:v>
      </x:c>
      <x:c r="Q13" s="20" t="str">
        <x:v>节假日演出/人流</x:v>
      </x:c>
      <x:c r="R13" s="20" t="str">
        <x:v>不是古建筑打卡；讲会馆如何提供同乡互助、商业和信仰网络</x:v>
      </x:c>
      <x:c r="S13" s="20" t="str">
        <x:v>找不同会所、戏台和木雕题材的功能差异</x:v>
      </x:c>
      <x:c r="T13" s="20" t="str">
        <x:v>https://whlyw.cq.gov.cn/zjwl/yzq/cqwlzy/zqwwzy/202405/t20240507_13182428.html</x:v>
      </x:c>
      <x:c r="U13" s="20" t="str">
        <x:v>https://whlyw.cq.gov.cn/hdjl_221/xzzq/202601/t20260115_15320860.html</x:v>
      </x:c>
      <x:c r="V13" s="20" t="str">
        <x:v>2026-07-28</x:v>
      </x:c>
      <x:c r="W13" s="20" t="str">
        <x:v>核心解释/付费体验</x:v>
      </x:c>
      <x:c r="X13" s="23" t="n">
        <x:v>3</x:v>
      </x:c>
      <x:c r="Y13" s="23" t="n">
        <x:v>5</x:v>
      </x:c>
      <x:c r="Z13" s="23" t="n">
        <x:v>5</x:v>
      </x:c>
      <x:c r="AA13" s="20" t="str">
        <x:v>A 必须</x:v>
      </x:c>
      <x:c r="AB13" s="20" t="str">
        <x:v>独立主题</x:v>
      </x:c>
      <x:c r="AC13" s="20" t="str">
        <x:v>文化历史|亲子轻松|首次经典</x:v>
      </x:c>
      <x:c r="AD13" s="20" t="str">
        <x:v>精简|标准|深度</x:v>
      </x:c>
      <x:c r="AE13" s="20" t="str">
        <x:v>人口迁徙与城市商业的入口</x:v>
      </x:c>
      <x:c r="AF13" s="20" t="str">
        <x:v>人口迁徙与城市商业的入口。不是古建筑打卡；讲会馆如何提供同乡互助、商业和信仰网络</x:v>
      </x:c>
      <x:c r="AG13" s="20" t="str">
        <x:v>节假日演出/人流</x:v>
      </x:c>
      <x:c r="AH13" s="23" t="n">
        <x:f>ROUND(I13*'参数字典'!$B$16+J13*'参数字典'!$B$17+X13*20*'参数字典'!$B$18+Y13*20*'参数字典'!$B$19+Z13*20*'参数字典'!$B$20,0)</x:f>
        <x:v>87</x:v>
      </x:c>
    </x:row>
    <x:row r="14" ht="56" customHeight="1">
      <x:c r="A14" s="20" t="str">
        <x:v>CQ009</x:v>
      </x:c>
      <x:c r="B14" s="20" t="str">
        <x:v>东水门城门城墙</x:v>
      </x:c>
      <x:c r="C14" s="20" t="str">
        <x:v>渝中</x:v>
      </x:c>
      <x:c r="D14" s="20" t="str">
        <x:v>D2母城城门</x:v>
      </x:c>
      <x:c r="E14" s="20" t="str">
        <x:v>城墙遗址</x:v>
      </x:c>
      <x:c r="F14" s="20" t="str">
        <x:v>必去核心</x:v>
      </x:c>
      <x:c r="G14" s="20" t="str">
        <x:v>从水路进入母城的真实遗存</x:v>
      </x:c>
      <x:c r="H14" s="20" t="str">
        <x:v>历史/建筑/步行</x:v>
      </x:c>
      <x:c r="I14" s="23" t="n">
        <x:v>94</x:v>
      </x:c>
      <x:c r="J14" s="23" t="n">
        <x:v>81</x:v>
      </x:c>
      <x:c r="K14" s="20" t="str">
        <x:v>B</x:v>
      </x:c>
      <x:c r="L14" s="23" t="n">
        <x:v>30</x:v>
      </x:c>
      <x:c r="M14" s="20" t="str">
        <x:v>湖广会馆前后</x:v>
      </x:c>
      <x:c r="N14" s="20" t="str">
        <x:v>湖广会馆旁步行</x:v>
      </x:c>
      <x:c r="O14" s="20" t="str">
        <x:v>标识英文覆盖待核验</x:v>
      </x:c>
      <x:c r="P14" s="20" t="str">
        <x:v>小雨可</x:v>
      </x:c>
      <x:c r="Q14" s="20" t="str">
        <x:v>坡坎、石面湿滑</x:v>
      </x:c>
      <x:c r="R14" s="20" t="str">
        <x:v>把城墙从抽象故事变成地形防御：山、江、门一体</x:v>
      </x:c>
      <x:c r="S14" s="20" t="str">
        <x:v>观察城门内外高差和城墙如何贴着山体</x:v>
      </x:c>
      <x:c r="T14" s="20" t="str">
        <x:v>https://whlyw.cq.gov.cn/zjwl/yzq/cqwlzy/zqwwzy/202405/t20240507_13182468.html</x:v>
      </x:c>
      <x:c r="U14" s="20" t="str">
        <x:v>https://www.cqyz.gov.cn/zjyz/lyyz/rmdkd/202202/t20220215_10397616.html</x:v>
      </x:c>
      <x:c r="V14" s="20" t="str">
        <x:v>2026-07-28</x:v>
      </x:c>
      <x:c r="W14" s="20" t="str">
        <x:v>核心解释</x:v>
      </x:c>
      <x:c r="X14" s="23" t="n">
        <x:v>3</x:v>
      </x:c>
      <x:c r="Y14" s="23" t="n">
        <x:v>4</x:v>
      </x:c>
      <x:c r="Z14" s="23" t="n">
        <x:v>2</x:v>
      </x:c>
      <x:c r="AA14" s="20" t="str">
        <x:v>B 按兴趣</x:v>
      </x:c>
      <x:c r="AB14" s="20" t="str">
        <x:v>独立主题</x:v>
      </x:c>
      <x:c r="AC14" s="20" t="str">
        <x:v>文化历史|首次经典</x:v>
      </x:c>
      <x:c r="AD14" s="20" t="str">
        <x:v>标准|深度</x:v>
      </x:c>
      <x:c r="AE14" s="20" t="str">
        <x:v>从水路进入母城的真实遗存</x:v>
      </x:c>
      <x:c r="AF14" s="20" t="str">
        <x:v>从水路进入母城的真实遗存。把城墙从抽象故事变成地形防御：山、江、门一体</x:v>
      </x:c>
      <x:c r="AG14" s="20" t="str">
        <x:v>坡坎、石面湿滑</x:v>
      </x:c>
      <x:c r="AH14" s="23" t="n">
        <x:f>ROUND(I14*'参数字典'!$B$16+J14*'参数字典'!$B$17+X14*20*'参数字典'!$B$18+Y14*20*'参数字典'!$B$19+Z14*20*'参数字典'!$B$20,0)</x:f>
        <x:v>73</x:v>
      </x:c>
    </x:row>
    <x:row r="15" ht="56" customHeight="1">
      <x:c r="A15" s="20" t="str">
        <x:v>CQ010</x:v>
      </x:c>
      <x:c r="B15" s="20" t="str">
        <x:v>白象街历史文化街区</x:v>
      </x:c>
      <x:c r="C15" s="20" t="str">
        <x:v>渝中</x:v>
      </x:c>
      <x:c r="D15" s="20" t="str">
        <x:v>D2母城城门</x:v>
      </x:c>
      <x:c r="E15" s="20" t="str">
        <x:v>开埠/金融街区</x:v>
      </x:c>
      <x:c r="F15" s="20" t="str">
        <x:v>深度推荐</x:v>
      </x:c>
      <x:c r="G15" s="20" t="str">
        <x:v>下半城商业与开埠史连接</x:v>
      </x:c>
      <x:c r="H15" s="20" t="str">
        <x:v>城市史/建筑</x:v>
      </x:c>
      <x:c r="I15" s="23" t="n">
        <x:v>84</x:v>
      </x:c>
      <x:c r="J15" s="23" t="n">
        <x:v>76</x:v>
      </x:c>
      <x:c r="K15" s="20" t="str">
        <x:v>B</x:v>
      </x:c>
      <x:c r="L15" s="23" t="n">
        <x:v>60</x:v>
      </x:c>
      <x:c r="M15" s="20" t="str">
        <x:v>午前/午后</x:v>
      </x:c>
      <x:c r="N15" s="20" t="str">
        <x:v>东水门步行</x:v>
      </x:c>
      <x:c r="O15" s="20" t="str">
        <x:v>新旧建筑边界容易混淆</x:v>
      </x:c>
      <x:c r="P15" s="20" t="str">
        <x:v>雨天缩短</x:v>
      </x:c>
      <x:c r="Q15" s="20" t="str">
        <x:v>商业更新、活动封控</x:v>
      </x:c>
      <x:c r="R15" s="20" t="str">
        <x:v>用邮政、金融和下半城商业解释通江贸易</x:v>
      </x:c>
      <x:c r="S15" s="20" t="str">
        <x:v>辨认历史建筑与仿古/新建部分</x:v>
      </x:c>
      <x:c r="T15" s="20" t="str">
        <x:v>https://ghzrzyj.cq.gov.cn/bsfw_186/dtfw/mzyt/202511/t20251124_15184222_wap.html</x:v>
      </x:c>
      <x:c r="U15" s="20" t="str">
        <x:v>https://ghzrzyj.cq.gov.cn/ztlm_186/ghgb/zxgh/202507/P020250716371670706300.pdf</x:v>
      </x:c>
      <x:c r="V15" s="20" t="str">
        <x:v>2026-07-28</x:v>
      </x:c>
      <x:c r="W15" s="20" t="str">
        <x:v>核心解释</x:v>
      </x:c>
      <x:c r="X15" s="23" t="n">
        <x:v>3</x:v>
      </x:c>
      <x:c r="Y15" s="23" t="n">
        <x:v>4</x:v>
      </x:c>
      <x:c r="Z15" s="23" t="n">
        <x:v>2</x:v>
      </x:c>
      <x:c r="AA15" s="20" t="str">
        <x:v>B 按兴趣</x:v>
      </x:c>
      <x:c r="AB15" s="20" t="str">
        <x:v>更新街区/老街</x:v>
      </x:c>
      <x:c r="AC15" s="20" t="str">
        <x:v>文化历史|首次经典</x:v>
      </x:c>
      <x:c r="AD15" s="20" t="str">
        <x:v>标准|深度</x:v>
      </x:c>
      <x:c r="AE15" s="20" t="str">
        <x:v>下半城商业与开埠史连接</x:v>
      </x:c>
      <x:c r="AF15" s="20" t="str">
        <x:v>下半城商业与开埠史连接。用邮政、金融和下半城商业解释通江贸易</x:v>
      </x:c>
      <x:c r="AG15" s="20" t="str">
        <x:v>商业更新、活动封控</x:v>
      </x:c>
      <x:c r="AH15" s="23" t="n">
        <x:f>ROUND(I15*'参数字典'!$B$16+J15*'参数字典'!$B$17+X15*20*'参数字典'!$B$18+Y15*20*'参数字典'!$B$19+Z15*20*'参数字典'!$B$20,0)</x:f>
        <x:v>70</x:v>
      </x:c>
    </x:row>
    <x:row r="16" ht="56" customHeight="1">
      <x:c r="A16" s="20" t="str">
        <x:v>CQ011</x:v>
      </x:c>
      <x:c r="B16" s="20" t="str">
        <x:v>白象居外围与公共通道</x:v>
      </x:c>
      <x:c r="C16" s="20" t="str">
        <x:v>渝中</x:v>
      </x:c>
      <x:c r="D16" s="20" t="str">
        <x:v>D2母城城门</x:v>
      </x:c>
      <x:c r="E16" s="20" t="str">
        <x:v>住宅/垂直空间</x:v>
      </x:c>
      <x:c r="F16" s="20" t="str">
        <x:v>条件推荐</x:v>
      </x:c>
      <x:c r="G16" s="20" t="str">
        <x:v>住宅与城市交通叠加案例</x:v>
      </x:c>
      <x:c r="H16" s="20" t="str">
        <x:v>建筑/摄影/背包客</x:v>
      </x:c>
      <x:c r="I16" s="23" t="n">
        <x:v>78</x:v>
      </x:c>
      <x:c r="J16" s="23" t="n">
        <x:v>51</x:v>
      </x:c>
      <x:c r="K16" s="20" t="str">
        <x:v>C</x:v>
      </x:c>
      <x:c r="L16" s="23" t="n">
        <x:v>35</x:v>
      </x:c>
      <x:c r="M16" s="20" t="str">
        <x:v>工作日白天</x:v>
      </x:c>
      <x:c r="N16" s="20" t="str">
        <x:v>白象街步行</x:v>
      </x:c>
      <x:c r="O16" s="20" t="str">
        <x:v>居民隐私、消防通道、无英文服务</x:v>
      </x:c>
      <x:c r="P16" s="20" t="str">
        <x:v>雨天不建议</x:v>
      </x:c>
      <x:c r="Q16" s="20" t="str">
        <x:v>扰民、封闭、错误机位</x:v>
      </x:c>
      <x:c r="R16" s="20" t="str">
        <x:v>价值在住宅如何成为城市连接，不是进入居民私域拍照</x:v>
      </x:c>
      <x:c r="S16" s="20" t="str">
        <x:v>只走公共通道；记录哪些空间对居民是日常而非景点</x:v>
      </x:c>
      <x:c r="T16" s="20" t="str">
        <x:v>https://eprints.whiterose.ac.uk/id/eprint/185301/</x:v>
      </x:c>
      <x:c r="U16" s="20" t="str">
        <x:v>https://www.reddit.com/r/travelchina/comments/1v4olqp/thoughts_on_my_chongqing_itinerary/</x:v>
      </x:c>
      <x:c r="V16" s="20" t="str">
        <x:v>2026-07-28</x:v>
      </x:c>
      <x:c r="W16" s="20" t="str">
        <x:v>真实生活</x:v>
      </x:c>
      <x:c r="X16" s="23" t="n">
        <x:v>2</x:v>
      </x:c>
      <x:c r="Y16" s="23" t="n">
        <x:v>2</x:v>
      </x:c>
      <x:c r="Z16" s="23" t="n">
        <x:v>2</x:v>
      </x:c>
      <x:c r="AA16" s="20" t="str">
        <x:v>C 深度补充</x:v>
      </x:c>
      <x:c r="AB16" s="20" t="str">
        <x:v>社区/生活</x:v>
      </x:c>
      <x:c r="AC16" s="20" t="str">
        <x:v>赛博摄影|美食生活|复游客|首次经典</x:v>
      </x:c>
      <x:c r="AD16" s="20" t="str">
        <x:v>深度</x:v>
      </x:c>
      <x:c r="AE16" s="20" t="str">
        <x:v>住宅与城市交通叠加案例</x:v>
      </x:c>
      <x:c r="AF16" s="20" t="str">
        <x:v>住宅与城市交通叠加案例。价值在住宅如何成为城市连接，不是进入居民私域拍照</x:v>
      </x:c>
      <x:c r="AG16" s="20" t="str">
        <x:v>无法确认公共边界即删除</x:v>
      </x:c>
      <x:c r="AH16" s="23" t="n">
        <x:f>ROUND(I16*'参数字典'!$B$16+J16*'参数字典'!$B$17+X16*20*'参数字典'!$B$18+Y16*20*'参数字典'!$B$19+Z16*20*'参数字典'!$B$20,0)</x:f>
        <x:v>49</x:v>
      </x:c>
    </x:row>
    <x:row r="17" ht="56" customHeight="1">
      <x:c r="A17" s="20" t="str">
        <x:v>CQ012</x:v>
      </x:c>
      <x:c r="B17" s="20" t="str">
        <x:v>通远门古城墙</x:v>
      </x:c>
      <x:c r="C17" s="20" t="str">
        <x:v>渝中</x:v>
      </x:c>
      <x:c r="D17" s="20" t="str">
        <x:v>D2母城城门</x:v>
      </x:c>
      <x:c r="E17" s="20" t="str">
        <x:v>城墙遗址</x:v>
      </x:c>
      <x:c r="F17" s="20" t="str">
        <x:v>必去核心</x:v>
      </x:c>
      <x:c r="G17" s="20" t="str">
        <x:v>陆路入口与母城边界</x:v>
      </x:c>
      <x:c r="H17" s="20" t="str">
        <x:v>历史/步行/建筑</x:v>
      </x:c>
      <x:c r="I17" s="23" t="n">
        <x:v>94</x:v>
      </x:c>
      <x:c r="J17" s="23" t="n">
        <x:v>85</x:v>
      </x:c>
      <x:c r="K17" s="20" t="str">
        <x:v>A</x:v>
      </x:c>
      <x:c r="L17" s="23" t="n">
        <x:v>35</x:v>
      </x:c>
      <x:c r="M17" s="20" t="str">
        <x:v>下午山城步道前</x:v>
      </x:c>
      <x:c r="N17" s="20" t="str">
        <x:v>七星岗站步行</x:v>
      </x:c>
      <x:c r="O17" s="20" t="str">
        <x:v>英文解释不足</x:v>
      </x:c>
      <x:c r="P17" s="20" t="str">
        <x:v>小雨可</x:v>
      </x:c>
      <x:c r="Q17" s="20" t="str">
        <x:v>城墙石面湿滑</x:v>
      </x:c>
      <x:c r="R17" s="20" t="str">
        <x:v>十七城门中唯一不面水的开门，解释陆路防御与城市边界</x:v>
      </x:c>
      <x:c r="S17" s="20" t="str">
        <x:v>从城外深壑想象古代进入重庆的路径</x:v>
      </x:c>
      <x:c r="T17" s="20" t="str">
        <x:v>https://www.cqyz.gov.cn/zjyz/lyyz/rmdkd/202202/t20220215_10397616.html</x:v>
      </x:c>
      <x:c r="U17" s="20" t="str">
        <x:v>https://whlyw.cq.gov.cn/zjwl/yzq/cqwlzy/zqwwzy/202405/t20240507_13182468.html</x:v>
      </x:c>
      <x:c r="V17" s="20" t="str">
        <x:v>2026-07-28</x:v>
      </x:c>
      <x:c r="W17" s="20" t="str">
        <x:v>核心解释</x:v>
      </x:c>
      <x:c r="X17" s="23" t="n">
        <x:v>3</x:v>
      </x:c>
      <x:c r="Y17" s="23" t="n">
        <x:v>4</x:v>
      </x:c>
      <x:c r="Z17" s="23" t="n">
        <x:v>2</x:v>
      </x:c>
      <x:c r="AA17" s="20" t="str">
        <x:v>B 按兴趣</x:v>
      </x:c>
      <x:c r="AB17" s="20" t="str">
        <x:v>独立主题</x:v>
      </x:c>
      <x:c r="AC17" s="20" t="str">
        <x:v>文化历史|首次经典</x:v>
      </x:c>
      <x:c r="AD17" s="20" t="str">
        <x:v>标准|深度</x:v>
      </x:c>
      <x:c r="AE17" s="20" t="str">
        <x:v>陆路入口与母城边界</x:v>
      </x:c>
      <x:c r="AF17" s="20" t="str">
        <x:v>陆路入口与母城边界。十七城门中唯一不面水的开门，解释陆路防御与城市边界</x:v>
      </x:c>
      <x:c r="AG17" s="20" t="str">
        <x:v>城墙石面湿滑</x:v>
      </x:c>
      <x:c r="AH17" s="23" t="n">
        <x:f>ROUND(I17*'参数字典'!$B$16+J17*'参数字典'!$B$17+X17*20*'参数字典'!$B$18+Y17*20*'参数字典'!$B$19+Z17*20*'参数字典'!$B$20,0)</x:f>
        <x:v>74</x:v>
      </x:c>
    </x:row>
    <x:row r="18" ht="56" customHeight="1">
      <x:c r="A18" s="20" t="str">
        <x:v>CQ013</x:v>
      </x:c>
      <x:c r="B18" s="20" t="str">
        <x:v>第三山城步道—山城巷段</x:v>
      </x:c>
      <x:c r="C18" s="20" t="str">
        <x:v>渝中</x:v>
      </x:c>
      <x:c r="D18" s="20" t="str">
        <x:v>D2母城城门</x:v>
      </x:c>
      <x:c r="E18" s="20" t="str">
        <x:v>山地步行系统</x:v>
      </x:c>
      <x:c r="F18" s="20" t="str">
        <x:v>必去核心</x:v>
      </x:c>
      <x:c r="G18" s="20" t="str">
        <x:v>用脚理解重庆，而非打卡街区</x:v>
      </x:c>
      <x:c r="H18" s="20" t="str">
        <x:v>背包客/建筑/城市观察</x:v>
      </x:c>
      <x:c r="I18" s="23" t="n">
        <x:v>86</x:v>
      </x:c>
      <x:c r="J18" s="23" t="n">
        <x:v>81</x:v>
      </x:c>
      <x:c r="K18" s="20" t="str">
        <x:v>B</x:v>
      </x:c>
      <x:c r="L18" s="23" t="n">
        <x:v>150</x:v>
      </x:c>
      <x:c r="M18" s="20" t="str">
        <x:v>下午自上而下</x:v>
      </x:c>
      <x:c r="N18" s="20" t="str">
        <x:v>通远门/领事巷入，向长江下行</x:v>
      </x:c>
      <x:c r="O18" s="20" t="str">
        <x:v>导航、高差、台阶和出口</x:v>
      </x:c>
      <x:c r="P18" s="20" t="str">
        <x:v>低体力改三峡博物馆+短段</x:v>
      </x:c>
      <x:c r="Q18" s="20" t="str">
        <x:v>连续下坡、雨后湿滑、夏季暴晒</x:v>
      </x:c>
      <x:c r="R18" s="20" t="str">
        <x:v>步道是交通、社区客厅和历史遗存容器，不只是景观栈道</x:v>
      </x:c>
      <x:c r="S18" s="20" t="str">
        <x:v>记录街—巷—院、休息平台与居民使用方式</x:v>
      </x:c>
      <x:c r="T18" s="20" t="str">
        <x:v>https://www.shplanning.com.cn/archive/download/id/487.html</x:v>
      </x:c>
      <x:c r="U18" s="20" t="str">
        <x:v>https://doi.org/10.17645/up.v7i4.5810</x:v>
      </x:c>
      <x:c r="V18" s="20" t="str">
        <x:v>2026-07-28</x:v>
      </x:c>
      <x:c r="W18" s="20" t="str">
        <x:v>核心解释/付费体验</x:v>
      </x:c>
      <x:c r="X18" s="23" t="n">
        <x:v>4</x:v>
      </x:c>
      <x:c r="Y18" s="23" t="n">
        <x:v>5</x:v>
      </x:c>
      <x:c r="Z18" s="23" t="n">
        <x:v>5</x:v>
      </x:c>
      <x:c r="AA18" s="20" t="str">
        <x:v>A 必须</x:v>
      </x:c>
      <x:c r="AB18" s="20" t="str">
        <x:v>高体力步道</x:v>
      </x:c>
      <x:c r="AC18" s="20" t="str">
        <x:v>赛博摄影|文化历史|首次经典</x:v>
      </x:c>
      <x:c r="AD18" s="20" t="str">
        <x:v>精简|标准|深度</x:v>
      </x:c>
      <x:c r="AE18" s="20" t="str">
        <x:v>用脚理解重庆，而非打卡街区</x:v>
      </x:c>
      <x:c r="AF18" s="20" t="str">
        <x:v>用脚理解重庆，而非打卡街区。步道是交通、社区客厅和历史遗存容器，不只是景观栈道</x:v>
      </x:c>
      <x:c r="AG18" s="20" t="str">
        <x:v>雨天、低体力或未实测路线即删除</x:v>
      </x:c>
      <x:c r="AH18" s="23" t="n">
        <x:f>ROUND(I18*'参数字典'!$B$16+J18*'参数字典'!$B$17+X18*20*'参数字典'!$B$18+Y18*20*'参数字典'!$B$19+Z18*20*'参数字典'!$B$20,0)</x:f>
        <x:v>90</x:v>
      </x:c>
    </x:row>
    <x:row r="19" ht="56" customHeight="1">
      <x:c r="A19" s="20" t="str">
        <x:v>CQ014</x:v>
      </x:c>
      <x:c r="B19" s="20" t="str">
        <x:v>十八梯传统风貌区</x:v>
      </x:c>
      <x:c r="C19" s="20" t="str">
        <x:v>渝中</x:v>
      </x:c>
      <x:c r="D19" s="20" t="str">
        <x:v>D2母城城门</x:v>
      </x:c>
      <x:c r="E19" s="20" t="str">
        <x:v>更新街区</x:v>
      </x:c>
      <x:c r="F19" s="20" t="str">
        <x:v>只顺路</x:v>
      </x:c>
      <x:c r="G19" s="20" t="str">
        <x:v>连接上下半城并比较更新</x:v>
      </x:c>
      <x:c r="H19" s="20" t="str">
        <x:v>首次来渝/低研究门槛</x:v>
      </x:c>
      <x:c r="I19" s="23" t="n">
        <x:v>72</x:v>
      </x:c>
      <x:c r="J19" s="23" t="n">
        <x:v>85</x:v>
      </x:c>
      <x:c r="K19" s="20" t="str">
        <x:v>A</x:v>
      </x:c>
      <x:c r="L19" s="23" t="n">
        <x:v>30</x:v>
      </x:c>
      <x:c r="M19" s="20" t="str">
        <x:v>非高峰</x:v>
      </x:c>
      <x:c r="N19" s="20" t="str">
        <x:v>较场口步行</x:v>
      </x:c>
      <x:c r="O19" s="20" t="str">
        <x:v>节假日拥挤</x:v>
      </x:c>
      <x:c r="P19" s="20" t="str">
        <x:v>雨天可短停</x:v>
      </x:c>
      <x:c r="Q19" s="20" t="str">
        <x:v>商业同质、演出封路</x:v>
      </x:c>
      <x:c r="R19" s="20" t="str">
        <x:v>不把它当“保存完好的老重庆”；用它讨论城市更新和记忆再现</x:v>
      </x:c>
      <x:c r="S19" s="20" t="str">
        <x:v>比较原有通道功能、重建空间与当代消费</x:v>
      </x:c>
      <x:c r="T19" s="20" t="str">
        <x:v>https://ghzrzyj.cq.gov.cn/bsfw_186/dtfw/mzyt/202511/t20251124_15184222_wap.html</x:v>
      </x:c>
      <x:c r="U19" s="20" t="str">
        <x:v>https://eprints.whiterose.ac.uk/id/eprint/185301/</x:v>
      </x:c>
      <x:c r="V19" s="20" t="str">
        <x:v>2026-07-28</x:v>
      </x:c>
      <x:c r="W19" s="20" t="str">
        <x:v>真实生活</x:v>
      </x:c>
      <x:c r="X19" s="23" t="n">
        <x:v>3</x:v>
      </x:c>
      <x:c r="Y19" s="23" t="n">
        <x:v>2</x:v>
      </x:c>
      <x:c r="Z19" s="23" t="n">
        <x:v>2</x:v>
      </x:c>
      <x:c r="AA19" s="20" t="str">
        <x:v>C 深度补充</x:v>
      </x:c>
      <x:c r="AB19" s="20" t="str">
        <x:v>更新街区/老街</x:v>
      </x:c>
      <x:c r="AC19" s="20" t="str">
        <x:v>美食生活|复游客|首次经典</x:v>
      </x:c>
      <x:c r="AD19" s="20" t="str">
        <x:v>深度</x:v>
      </x:c>
      <x:c r="AE19" s="20" t="str">
        <x:v>连接上下半城并比较更新</x:v>
      </x:c>
      <x:c r="AF19" s="20" t="str">
        <x:v>连接上下半城并比较更新。不把它当“保存完好的老重庆”；用它讨论城市更新和记忆再现</x:v>
      </x:c>
      <x:c r="AG19" s="20" t="str">
        <x:v>与其他商业街重复时优先删除</x:v>
      </x:c>
      <x:c r="AH19" s="23" t="n">
        <x:f>ROUND(I19*'参数字典'!$B$16+J19*'参数字典'!$B$17+X19*20*'参数字典'!$B$18+Y19*20*'参数字典'!$B$19+Z19*20*'参数字典'!$B$20,0)</x:f>
        <x:v>57</x:v>
      </x:c>
    </x:row>
    <x:row r="20" ht="56" customHeight="1">
      <x:c r="A20" s="20" t="str">
        <x:v>CQ015</x:v>
      </x:c>
      <x:c r="B20" s="20" t="str">
        <x:v>重庆大轰炸遗址陈列馆</x:v>
      </x:c>
      <x:c r="C20" s="20" t="str">
        <x:v>渝中</x:v>
      </x:c>
      <x:c r="D20" s="20" t="str">
        <x:v>D2母城城门</x:v>
      </x:c>
      <x:c r="E20" s="20" t="str">
        <x:v>战争记忆</x:v>
      </x:c>
      <x:c r="F20" s="20" t="str">
        <x:v>条件推荐</x:v>
      </x:c>
      <x:c r="G20" s="20" t="str">
        <x:v>重历史模块；不与娱乐强行混排</x:v>
      </x:c>
      <x:c r="H20" s="20" t="str">
        <x:v>历史/教育/成年游客</x:v>
      </x:c>
      <x:c r="I20" s="23" t="n">
        <x:v>86</x:v>
      </x:c>
      <x:c r="J20" s="23" t="n">
        <x:v>80</x:v>
      </x:c>
      <x:c r="K20" s="20" t="str">
        <x:v>B</x:v>
      </x:c>
      <x:c r="L20" s="23" t="n">
        <x:v>45</x:v>
      </x:c>
      <x:c r="M20" s="20" t="str">
        <x:v>10:00—17:30</x:v>
      </x:c>
      <x:c r="N20" s="20" t="str">
        <x:v>较场口站</x:v>
      </x:c>
      <x:c r="O20" s="20" t="str">
        <x:v>英文展陈和情绪承载待核验</x:v>
      </x:c>
      <x:c r="P20" s="20" t="str">
        <x:v>雨天核心</x:v>
      </x:c>
      <x:c r="Q20" s="20" t="str">
        <x:v>内容沉重；儿童适配</x:v>
      </x:c>
      <x:c r="R20" s="20" t="str">
        <x:v>从夜景奇观切回城市在战争中的平民经验</x:v>
      </x:c>
      <x:c r="S20" s="20" t="str">
        <x:v>进入前给内容预警；离开后安排安静恢复</x:v>
      </x:c>
      <x:c r="T20" s="20" t="str">
        <x:v>https://whlyw.cq.gov.cn/zwxx_221/bmdt/tzgg/202601/t20260115_15320690.html</x:v>
      </x:c>
      <x:c r="U20" s="20" t="str">
        <x:v>https://www.cq.gov.cn/ywdt/zwhd/qxdt/202009/t20200907_8628081.html</x:v>
      </x:c>
      <x:c r="V20" s="20" t="str">
        <x:v>2026-07-28</x:v>
      </x:c>
      <x:c r="W20" s="20" t="str">
        <x:v>核心解释</x:v>
      </x:c>
      <x:c r="X20" s="23" t="n">
        <x:v>2</x:v>
      </x:c>
      <x:c r="Y20" s="23" t="n">
        <x:v>2</x:v>
      </x:c>
      <x:c r="Z20" s="23" t="n">
        <x:v>2</x:v>
      </x:c>
      <x:c r="AA20" s="20" t="str">
        <x:v>C 深度补充</x:v>
      </x:c>
      <x:c r="AB20" s="20" t="str">
        <x:v>独立主题</x:v>
      </x:c>
      <x:c r="AC20" s="20" t="str">
        <x:v>赛博摄影|文化历史|首次经典</x:v>
      </x:c>
      <x:c r="AD20" s="20" t="str">
        <x:v>深度</x:v>
      </x:c>
      <x:c r="AE20" s="20" t="str">
        <x:v>重历史模块；不与娱乐强行混排</x:v>
      </x:c>
      <x:c r="AF20" s="20" t="str">
        <x:v>重历史模块；不与娱乐强行混排。从夜景奇观切回城市在战争中的平民经验</x:v>
      </x:c>
      <x:c r="AG20" s="20" t="str">
        <x:v>内容沉重；儿童适配</x:v>
      </x:c>
      <x:c r="AH20" s="23" t="n">
        <x:f>ROUND(I20*'参数字典'!$B$16+J20*'参数字典'!$B$17+X20*20*'参数字典'!$B$18+Y20*20*'参数字典'!$B$19+Z20*20*'参数字典'!$B$20,0)</x:f>
        <x:v>55</x:v>
      </x:c>
    </x:row>
    <x:row r="21" ht="56" customHeight="1">
      <x:c r="A21" s="20" t="str">
        <x:v>CQ016</x:v>
      </x:c>
      <x:c r="B21" s="20" t="str">
        <x:v>重庆金融历史博物馆</x:v>
      </x:c>
      <x:c r="C21" s="20" t="str">
        <x:v>渝中</x:v>
      </x:c>
      <x:c r="D21" s="20" t="str">
        <x:v>D2母城城门</x:v>
      </x:c>
      <x:c r="E21" s="20" t="str">
        <x:v>金融/建筑</x:v>
      </x:c>
      <x:c r="F21" s="20" t="str">
        <x:v>条件推荐</x:v>
      </x:c>
      <x:c r="G21" s="20" t="str">
        <x:v>开埠商业的室内补充</x:v>
      </x:c>
      <x:c r="H21" s="20" t="str">
        <x:v>金融/建筑/雨天</x:v>
      </x:c>
      <x:c r="I21" s="23" t="n">
        <x:v>80</x:v>
      </x:c>
      <x:c r="J21" s="23" t="n">
        <x:v>80</x:v>
      </x:c>
      <x:c r="K21" s="20" t="str">
        <x:v>B</x:v>
      </x:c>
      <x:c r="L21" s="23" t="n">
        <x:v>60</x:v>
      </x:c>
      <x:c r="M21" s="20" t="str">
        <x:v>避开12:00—13:30</x:v>
      </x:c>
      <x:c r="N21" s="20" t="str">
        <x:v>小什字步行</x:v>
      </x:c>
      <x:c r="O21" s="20" t="str">
        <x:v>英文展陈待核验</x:v>
      </x:c>
      <x:c r="P21" s="20" t="str">
        <x:v>雨天核心</x:v>
      </x:c>
      <x:c r="Q21" s="20" t="str">
        <x:v>周一闭馆、午间闭馆</x:v>
      </x:c>
      <x:c r="R21" s="20" t="str">
        <x:v>用银行建筑和金融机构解释重庆如何从码头城市进入现代商业</x:v>
      </x:c>
      <x:c r="S21" s="20" t="str">
        <x:v>观察金库、立面和街区位置的关系</x:v>
      </x:c>
      <x:c r="T21" s="20" t="str">
        <x:v>https://whlyw.cq.gov.cn/hdjl_221/xzzq/202601/t20260115_15320860.html</x:v>
      </x:c>
      <x:c r="U21" s="20" t="str">
        <x:v>https://ghzrzyj.cq.gov.cn/bsfw_186/dtfw/mzyt/202511/t20251124_15184222_wap.html</x:v>
      </x:c>
      <x:c r="V21" s="20" t="str">
        <x:v>2026-07-28</x:v>
      </x:c>
      <x:c r="W21" s="20" t="str">
        <x:v>核心解释</x:v>
      </x:c>
      <x:c r="X21" s="23" t="n">
        <x:v>2</x:v>
      </x:c>
      <x:c r="Y21" s="23" t="n">
        <x:v>2</x:v>
      </x:c>
      <x:c r="Z21" s="23" t="n">
        <x:v>2</x:v>
      </x:c>
      <x:c r="AA21" s="20" t="str">
        <x:v>C 深度补充</x:v>
      </x:c>
      <x:c r="AB21" s="20" t="str">
        <x:v>独立主题</x:v>
      </x:c>
      <x:c r="AC21" s="20" t="str">
        <x:v>文化历史|首次经典</x:v>
      </x:c>
      <x:c r="AD21" s="20" t="str">
        <x:v>深度</x:v>
      </x:c>
      <x:c r="AE21" s="20" t="str">
        <x:v>开埠商业的室内补充</x:v>
      </x:c>
      <x:c r="AF21" s="20" t="str">
        <x:v>开埠商业的室内补充。用银行建筑和金融机构解释重庆如何从码头城市进入现代商业</x:v>
      </x:c>
      <x:c r="AG21" s="20" t="str">
        <x:v>周一闭馆、午间闭馆</x:v>
      </x:c>
      <x:c r="AH21" s="23" t="n">
        <x:f>ROUND(I21*'参数字典'!$B$16+J21*'参数字典'!$B$17+X21*20*'参数字典'!$B$18+Y21*20*'参数字典'!$B$19+Z21*20*'参数字典'!$B$20,0)</x:f>
        <x:v>54</x:v>
      </x:c>
    </x:row>
    <x:row r="22" ht="56" customHeight="1">
      <x:c r="A22" s="20" t="str">
        <x:v>CQ017</x:v>
      </x:c>
      <x:c r="B22" s="20" t="str">
        <x:v>重庆中国三峡博物馆</x:v>
      </x:c>
      <x:c r="C22" s="20" t="str">
        <x:v>渝中</x:v>
      </x:c>
      <x:c r="D22" s="20" t="str">
        <x:v>D3世界城市</x:v>
      </x:c>
      <x:c r="E22" s="20" t="str">
        <x:v>综合博物馆</x:v>
      </x:c>
      <x:c r="F22" s="20" t="str">
        <x:v>必去核心</x:v>
      </x:c>
      <x:c r="G22" s="20" t="str">
        <x:v>为巴渝、三峡、抗战建立框架</x:v>
      </x:c>
      <x:c r="H22" s="20" t="str">
        <x:v>文化/亲子/雨天</x:v>
      </x:c>
      <x:c r="I22" s="23" t="n">
        <x:v>94</x:v>
      </x:c>
      <x:c r="J22" s="23" t="n">
        <x:v>85</x:v>
      </x:c>
      <x:c r="K22" s="20" t="str">
        <x:v>A</x:v>
      </x:c>
      <x:c r="L22" s="23" t="n">
        <x:v>150</x:v>
      </x:c>
      <x:c r="M22" s="20" t="str">
        <x:v>09:00开馆</x:v>
      </x:c>
      <x:c r="N22" s="20" t="str">
        <x:v>曾家岩站</x:v>
      </x:c>
      <x:c r="O22" s="20" t="str">
        <x:v>有效证件入馆；英文覆盖不均</x:v>
      </x:c>
      <x:c r="P22" s="20" t="str">
        <x:v>雨天核心</x:v>
      </x:c>
      <x:c r="Q22" s="20" t="str">
        <x:v>周一闭馆、临展变化</x:v>
      </x:c>
      <x:c r="R22" s="20" t="str">
        <x:v>只选与路线相关展厅，不做“逛完整馆”任务</x:v>
      </x:c>
      <x:c r="S22" s="20" t="str">
        <x:v>先看地形与移民，再回看前两天所见</x:v>
      </x:c>
      <x:c r="T22" s="20" t="str">
        <x:v>https://www.3gmuseum.cn/web/article/1430010139317059584/web/content_1430010139317059584.html</x:v>
      </x:c>
      <x:c r="U22" s="20" t="str">
        <x:v>https://whlyw.cq.gov.cn/hdjl_221/xzzq/202601/t20260115_15320860.html</x:v>
      </x:c>
      <x:c r="V22" s="20" t="str">
        <x:v>2026-07-28</x:v>
      </x:c>
      <x:c r="W22" s="20" t="str">
        <x:v>核心解释/付费体验</x:v>
      </x:c>
      <x:c r="X22" s="23" t="n">
        <x:v>4</x:v>
      </x:c>
      <x:c r="Y22" s="23" t="n">
        <x:v>5</x:v>
      </x:c>
      <x:c r="Z22" s="23" t="n">
        <x:v>5</x:v>
      </x:c>
      <x:c r="AA22" s="20" t="str">
        <x:v>A 必须</x:v>
      </x:c>
      <x:c r="AB22" s="20" t="str">
        <x:v>博物馆/历史场馆</x:v>
      </x:c>
      <x:c r="AC22" s="20" t="str">
        <x:v>文化历史|亲子轻松|首次经典</x:v>
      </x:c>
      <x:c r="AD22" s="20" t="str">
        <x:v>精简|标准|深度</x:v>
      </x:c>
      <x:c r="AE22" s="20" t="str">
        <x:v>为巴渝、三峡、抗战建立框架</x:v>
      </x:c>
      <x:c r="AF22" s="20" t="str">
        <x:v>为巴渝、三峡、抗战建立框架。只选与路线相关展厅，不做“逛完整馆”任务</x:v>
      </x:c>
      <x:c r="AG22" s="20" t="str">
        <x:v>周一闭馆、临展变化</x:v>
      </x:c>
      <x:c r="AH22" s="23" t="n">
        <x:f>ROUND(I22*'参数字典'!$B$16+J22*'参数字典'!$B$17+X22*20*'参数字典'!$B$18+Y22*20*'参数字典'!$B$19+Z22*20*'参数字典'!$B$20,0)</x:f>
        <x:v>93</x:v>
      </x:c>
    </x:row>
    <x:row r="23" ht="56" customHeight="1">
      <x:c r="A23" s="20" t="str">
        <x:v>CQ018</x:v>
      </x:c>
      <x:c r="B23" s="20" t="str">
        <x:v>重庆市人民大礼堂外观</x:v>
      </x:c>
      <x:c r="C23" s="20" t="str">
        <x:v>渝中</x:v>
      </x:c>
      <x:c r="D23" s="20" t="str">
        <x:v>D3世界城市</x:v>
      </x:c>
      <x:c r="E23" s="20" t="str">
        <x:v>公共建筑</x:v>
      </x:c>
      <x:c r="F23" s="20" t="str">
        <x:v>只顺路</x:v>
      </x:c>
      <x:c r="G23" s="20" t="str">
        <x:v>与三峡博物馆形成城市轴线</x:v>
      </x:c>
      <x:c r="H23" s="20" t="str">
        <x:v>建筑/摄影</x:v>
      </x:c>
      <x:c r="I23" s="23" t="n">
        <x:v>85</x:v>
      </x:c>
      <x:c r="J23" s="23" t="n">
        <x:v>76</x:v>
      </x:c>
      <x:c r="K23" s="20" t="str">
        <x:v>B</x:v>
      </x:c>
      <x:c r="L23" s="23" t="n">
        <x:v>20</x:v>
      </x:c>
      <x:c r="M23" s="20" t="str">
        <x:v>博物馆前后</x:v>
      </x:c>
      <x:c r="N23" s="20" t="str">
        <x:v>人民广场步行</x:v>
      </x:c>
      <x:c r="O23" s="20" t="str">
        <x:v>活动时可能封控</x:v>
      </x:c>
      <x:c r="P23" s="20" t="str">
        <x:v>雨天短停</x:v>
      </x:c>
      <x:c r="Q23" s="20" t="str">
        <x:v>会议活动封闭</x:v>
      </x:c>
      <x:c r="R23" s="20" t="str">
        <x:v>讲20世纪公共建筑与当代城市仪式空间，外观足够</x:v>
      </x:c>
      <x:c r="S23" s="20" t="str">
        <x:v>从博物馆台阶观察轴线、尺度与人流</x:v>
      </x:c>
      <x:c r="T23" s="20" t="str">
        <x:v>https://whlyw.cq.gov.cn/hdjl_221/xzzq/202601/t20260115_15320860.html</x:v>
      </x:c>
      <x:c r="U23" s="20" t="str">
        <x:v>https://ghzrzyj.cq.gov.cn/ztlm_186/ghgb/zxgh/202507/P020250716371670706300.pdf</x:v>
      </x:c>
      <x:c r="V23" s="20" t="str">
        <x:v>2026-07-28</x:v>
      </x:c>
      <x:c r="W23" s="20" t="str">
        <x:v>真实生活</x:v>
      </x:c>
      <x:c r="X23" s="23" t="n">
        <x:v>3</x:v>
      </x:c>
      <x:c r="Y23" s="23" t="n">
        <x:v>2</x:v>
      </x:c>
      <x:c r="Z23" s="23" t="n">
        <x:v>2</x:v>
      </x:c>
      <x:c r="AA23" s="20" t="str">
        <x:v>C 深度补充</x:v>
      </x:c>
      <x:c r="AB23" s="20" t="str">
        <x:v>独立主题</x:v>
      </x:c>
      <x:c r="AC23" s="20" t="str">
        <x:v>赛博摄影|美食生活|复游客|首次经典</x:v>
      </x:c>
      <x:c r="AD23" s="20" t="str">
        <x:v>深度</x:v>
      </x:c>
      <x:c r="AE23" s="20" t="str">
        <x:v>与三峡博物馆形成城市轴线</x:v>
      </x:c>
      <x:c r="AF23" s="20" t="str">
        <x:v>与三峡博物馆形成城市轴线。讲20世纪公共建筑与当代城市仪式空间，外观足够</x:v>
      </x:c>
      <x:c r="AG23" s="20" t="str">
        <x:v>会议活动封闭</x:v>
      </x:c>
      <x:c r="AH23" s="23" t="n">
        <x:f>ROUND(I23*'参数字典'!$B$16+J23*'参数字典'!$B$17+X23*20*'参数字典'!$B$18+Y23*20*'参数字典'!$B$19+Z23*20*'参数字典'!$B$20,0)</x:f>
        <x:v>58</x:v>
      </x:c>
    </x:row>
    <x:row r="24" ht="56" customHeight="1">
      <x:c r="A24" s="20" t="str">
        <x:v>CQ019</x:v>
      </x:c>
      <x:c r="B24" s="20" t="str">
        <x:v>中山四路：桂园—周公馆—特园</x:v>
      </x:c>
      <x:c r="C24" s="20" t="str">
        <x:v>渝中</x:v>
      </x:c>
      <x:c r="D24" s="20" t="str">
        <x:v>D3世界城市</x:v>
      </x:c>
      <x:c r="E24" s="20" t="str">
        <x:v>抗战/外交街区</x:v>
      </x:c>
      <x:c r="F24" s="20" t="str">
        <x:v>必去核心</x:v>
      </x:c>
      <x:c r="G24" s="20" t="str">
        <x:v>把抗战陪都放进可步行街区</x:v>
      </x:c>
      <x:c r="H24" s="20" t="str">
        <x:v>历史/国际关系/建筑</x:v>
      </x:c>
      <x:c r="I24" s="23" t="n">
        <x:v>90</x:v>
      </x:c>
      <x:c r="J24" s="23" t="n">
        <x:v>85</x:v>
      </x:c>
      <x:c r="K24" s="20" t="str">
        <x:v>A</x:v>
      </x:c>
      <x:c r="L24" s="23" t="n">
        <x:v>120</x:v>
      </x:c>
      <x:c r="M24" s="20" t="str">
        <x:v>午后</x:v>
      </x:c>
      <x:c r="N24" s="20" t="str">
        <x:v>曾家岩站步行</x:v>
      </x:c>
      <x:c r="O24" s="20" t="str">
        <x:v>场馆开放日不同；英文讲解不稳定</x:v>
      </x:c>
      <x:c r="P24" s="20" t="str">
        <x:v>小雨可</x:v>
      </x:c>
      <x:c r="Q24" s="20" t="str">
        <x:v>周一闭馆、机关片区管制</x:v>
      </x:c>
      <x:c r="R24" s="20" t="str">
        <x:v>不是单一政治叙事；讲国共谈判、统一战线、文化人与国际传播</x:v>
      </x:c>
      <x:c r="S24" s="20" t="str">
        <x:v>比较住宅尺度、街道树荫与战时政治中心功能</x:v>
      </x:c>
      <x:c r="T24" s="20" t="str">
        <x:v>https://www.cqyz.gov.cn/zjyz/lyyz/rmdkd/202210/t20221005_11164444.html</x:v>
      </x:c>
      <x:c r="U24" s="20" t="str">
        <x:v>https://www.cqyz.gov.cn/zjyz/lyyz/lswh/lsww/202306/t20230625_12089545.html</x:v>
      </x:c>
      <x:c r="V24" s="20" t="str">
        <x:v>2026-07-28</x:v>
      </x:c>
      <x:c r="W24" s="20" t="str">
        <x:v>核心解释/付费体验</x:v>
      </x:c>
      <x:c r="X24" s="23" t="n">
        <x:v>3</x:v>
      </x:c>
      <x:c r="Y24" s="23" t="n">
        <x:v>5</x:v>
      </x:c>
      <x:c r="Z24" s="23" t="n">
        <x:v>5</x:v>
      </x:c>
      <x:c r="AA24" s="20" t="str">
        <x:v>A 必须</x:v>
      </x:c>
      <x:c r="AB24" s="20" t="str">
        <x:v>博物馆/历史场馆</x:v>
      </x:c>
      <x:c r="AC24" s="20" t="str">
        <x:v>文化历史|首次经典</x:v>
      </x:c>
      <x:c r="AD24" s="20" t="str">
        <x:v>精简|标准|深度</x:v>
      </x:c>
      <x:c r="AE24" s="20" t="str">
        <x:v>把抗战陪都放进可步行街区</x:v>
      </x:c>
      <x:c r="AF24" s="20" t="str">
        <x:v>把抗战陪都放进可步行街区。不是单一政治叙事；讲国共谈判、统一战线、文化人与国际传播</x:v>
      </x:c>
      <x:c r="AG24" s="20" t="str">
        <x:v>周一闭馆、机关片区管制</x:v>
      </x:c>
      <x:c r="AH24" s="23" t="n">
        <x:f>ROUND(I24*'参数字典'!$B$16+J24*'参数字典'!$B$17+X24*20*'参数字典'!$B$18+Y24*20*'参数字典'!$B$19+Z24*20*'参数字典'!$B$20,0)</x:f>
        <x:v>88</x:v>
      </x:c>
    </x:row>
    <x:row r="25" ht="56" customHeight="1">
      <x:c r="A25" s="20" t="str">
        <x:v>CQ020</x:v>
      </x:c>
      <x:c r="B25" s="20" t="str">
        <x:v>重庆史迪威博物馆</x:v>
      </x:c>
      <x:c r="C25" s="20" t="str">
        <x:v>渝中</x:v>
      </x:c>
      <x:c r="D25" s="20" t="str">
        <x:v>D3世界城市</x:v>
      </x:c>
      <x:c r="E25" s="20" t="str">
        <x:v>二战/国际关系</x:v>
      </x:c>
      <x:c r="F25" s="20" t="str">
        <x:v>深度推荐</x:v>
      </x:c>
      <x:c r="G25" s="20" t="str">
        <x:v>外国游客可进入的中美共同抗战接口</x:v>
      </x:c>
      <x:c r="H25" s="20" t="str">
        <x:v>国际游客/历史/亲子</x:v>
      </x:c>
      <x:c r="I25" s="23" t="n">
        <x:v>90</x:v>
      </x:c>
      <x:c r="J25" s="23" t="n">
        <x:v>85</x:v>
      </x:c>
      <x:c r="K25" s="20" t="str">
        <x:v>A</x:v>
      </x:c>
      <x:c r="L25" s="23" t="n">
        <x:v>75</x:v>
      </x:c>
      <x:c r="M25" s="20" t="str">
        <x:v>下午</x:v>
      </x:c>
      <x:c r="N25" s="20" t="str">
        <x:v>李子坝/佛图关片区</x:v>
      </x:c>
      <x:c r="O25" s="20" t="str">
        <x:v>英文讲解与护照入馆待核验</x:v>
      </x:c>
      <x:c r="P25" s="20" t="str">
        <x:v>雨天核心</x:v>
      </x:c>
      <x:c r="Q25" s="20" t="str">
        <x:v>周一闭馆、临展变化</x:v>
      </x:c>
      <x:c r="R25" s="20" t="str">
        <x:v>用史迪威个人经历连接中国战区、飞虎队、滇缅公路和重庆</x:v>
      </x:c>
      <x:c r="S25" s="20" t="str">
        <x:v>让游客区分旧居、机构史与当代民间外交</x:v>
      </x:c>
      <x:c r="T25" s="20" t="str">
        <x:v>https://whlyw.cq.gov.cn/hdjl_221/xzzq/202601/t20260115_15320860.html</x:v>
      </x:c>
      <x:c r="U25" s="20" t="str">
        <x:v>https://www.cq.gov.cn/zwgk/zfxxgkml/zdlyxxgk/ggwh/wh/zxdt/202605/t20260518_15684252.html</x:v>
      </x:c>
      <x:c r="V25" s="20" t="str">
        <x:v>2026-07-28</x:v>
      </x:c>
      <x:c r="W25" s="20" t="str">
        <x:v>核心解释/付费体验</x:v>
      </x:c>
      <x:c r="X25" s="23" t="n">
        <x:v>3</x:v>
      </x:c>
      <x:c r="Y25" s="23" t="n">
        <x:v>4</x:v>
      </x:c>
      <x:c r="Z25" s="23" t="n">
        <x:v>5</x:v>
      </x:c>
      <x:c r="AA25" s="20" t="str">
        <x:v>B 按兴趣</x:v>
      </x:c>
      <x:c r="AB25" s="20" t="str">
        <x:v>博物馆/历史场馆</x:v>
      </x:c>
      <x:c r="AC25" s="20" t="str">
        <x:v>文化历史|亲子轻松|首次经典</x:v>
      </x:c>
      <x:c r="AD25" s="20" t="str">
        <x:v>标准|深度</x:v>
      </x:c>
      <x:c r="AE25" s="20" t="str">
        <x:v>外国游客可进入的中美共同抗战接口</x:v>
      </x:c>
      <x:c r="AF25" s="20" t="str">
        <x:v>外国游客可进入的中美共同抗战接口。用史迪威个人经历连接中国战区、飞虎队、滇缅公路和重庆</x:v>
      </x:c>
      <x:c r="AG25" s="20" t="str">
        <x:v>周一闭馆、临展变化</x:v>
      </x:c>
      <x:c r="AH25" s="23" t="n">
        <x:f>ROUND(I25*'参数字典'!$B$16+J25*'参数字典'!$B$17+X25*20*'参数字典'!$B$18+Y25*20*'参数字典'!$B$19+Z25*20*'参数字典'!$B$20,0)</x:f>
        <x:v>82</x:v>
      </x:c>
    </x:row>
    <x:row r="26" ht="56" customHeight="1">
      <x:c r="A26" s="20" t="str">
        <x:v>CQ021</x:v>
      </x:c>
      <x:c r="B26" s="20" t="str">
        <x:v>轨道2号线临江门—李子坝乘车体验</x:v>
      </x:c>
      <x:c r="C26" s="20" t="str">
        <x:v>渝中</x:v>
      </x:c>
      <x:c r="D26" s="20" t="str">
        <x:v>D3世界城市</x:v>
      </x:c>
      <x:c r="E26" s="20" t="str">
        <x:v>公共交通</x:v>
      </x:c>
      <x:c r="F26" s="20" t="str">
        <x:v>必去核心</x:v>
      </x:c>
      <x:c r="G26" s="20" t="str">
        <x:v>单轨是交通系统，不只是穿楼照片</x:v>
      </x:c>
      <x:c r="H26" s="20" t="str">
        <x:v>首次来渝/交通/亲子</x:v>
      </x:c>
      <x:c r="I26" s="23" t="n">
        <x:v>98</x:v>
      </x:c>
      <x:c r="J26" s="23" t="n">
        <x:v>85</x:v>
      </x:c>
      <x:c r="K26" s="20" t="str">
        <x:v>A</x:v>
      </x:c>
      <x:c r="L26" s="23" t="n">
        <x:v>35</x:v>
      </x:c>
      <x:c r="M26" s="20" t="str">
        <x:v>避开通勤高峰</x:v>
      </x:c>
      <x:c r="N26" s="20" t="str">
        <x:v>2号线乘坐</x:v>
      </x:c>
      <x:c r="O26" s="20" t="str">
        <x:v>拥挤时站位和方向需提示</x:v>
      </x:c>
      <x:c r="P26" s="20" t="str">
        <x:v>雨天核心</x:v>
      </x:c>
      <x:c r="Q26" s="20" t="str">
        <x:v>李子坝施工、车厢拥挤</x:v>
      </x:c>
      <x:c r="R26" s="20" t="str">
        <x:v>解释跨座式单轨如何适应曲线、坡度和密集建成区</x:v>
      </x:c>
      <x:c r="S26" s="20" t="str">
        <x:v>从车内观察高架、沿江、穿楼和站点高差</x:v>
      </x:c>
      <x:c r="T26" s="20" t="str">
        <x:v>https://www.cq.gov.cn/ywdt/jrcq/202606/t20260613_15751500.html</x:v>
      </x:c>
      <x:c r="U26" s="20" t="str">
        <x:v>https://www.cq.gov.cn/ywdt/jrcq/202605/t20260528_15709853.html</x:v>
      </x:c>
      <x:c r="V26" s="20" t="str">
        <x:v>2026-07-28</x:v>
      </x:c>
      <x:c r="W26" s="20" t="str">
        <x:v>引流钩子</x:v>
      </x:c>
      <x:c r="X26" s="23" t="n">
        <x:v>5</x:v>
      </x:c>
      <x:c r="Y26" s="23" t="n">
        <x:v>5</x:v>
      </x:c>
      <x:c r="Z26" s="23" t="n">
        <x:v>4</x:v>
      </x:c>
      <x:c r="AA26" s="20" t="str">
        <x:v>A 必须</x:v>
      </x:c>
      <x:c r="AB26" s="20" t="str">
        <x:v>交通奇观</x:v>
      </x:c>
      <x:c r="AC26" s="20" t="str">
        <x:v>赛博摄影|亲子轻松|首次经典</x:v>
      </x:c>
      <x:c r="AD26" s="20" t="str">
        <x:v>精简|标准|深度</x:v>
      </x:c>
      <x:c r="AE26" s="20" t="str">
        <x:v>单轨是交通系统，不只是穿楼照片</x:v>
      </x:c>
      <x:c r="AF26" s="20" t="str">
        <x:v>单轨是交通系统，不只是穿楼照片。解释跨座式单轨如何适应曲线、坡度和密集建成区</x:v>
      </x:c>
      <x:c r="AG26" s="20" t="str">
        <x:v>李子坝施工、车厢拥挤</x:v>
      </x:c>
      <x:c r="AH26" s="23" t="n">
        <x:f>ROUND(I26*'参数字典'!$B$16+J26*'参数字典'!$B$17+X26*20*'参数字典'!$B$18+Y26*20*'参数字典'!$B$19+Z26*20*'参数字典'!$B$20,0)</x:f>
        <x:v>94</x:v>
      </x:c>
    </x:row>
    <x:row r="27" ht="56" customHeight="1">
      <x:c r="A27" s="20" t="str">
        <x:v>CQ022</x:v>
      </x:c>
      <x:c r="B27" s="20" t="str">
        <x:v>李子坝观景台与垂直通道</x:v>
      </x:c>
      <x:c r="C27" s="20" t="str">
        <x:v>渝中</x:v>
      </x:c>
      <x:c r="D27" s="20" t="str">
        <x:v>D3世界城市</x:v>
      </x:c>
      <x:c r="E27" s="20" t="str">
        <x:v>交通景观</x:v>
      </x:c>
      <x:c r="F27" s="20" t="str">
        <x:v>条件推荐</x:v>
      </x:c>
      <x:c r="G27" s="20" t="str">
        <x:v>外部观察但严格限时</x:v>
      </x:c>
      <x:c r="H27" s="20" t="str">
        <x:v>首次来渝/摄影</x:v>
      </x:c>
      <x:c r="I27" s="23" t="n">
        <x:v>79</x:v>
      </x:c>
      <x:c r="J27" s="23" t="n">
        <x:v>85</x:v>
      </x:c>
      <x:c r="K27" s="20" t="str">
        <x:v>A</x:v>
      </x:c>
      <x:c r="L27" s="23" t="n">
        <x:v>25</x:v>
      </x:c>
      <x:c r="M27" s="20" t="str">
        <x:v>非高峰</x:v>
      </x:c>
      <x:c r="N27" s="20" t="str">
        <x:v>李子坝站</x:v>
      </x:c>
      <x:c r="O27" s="20" t="str">
        <x:v>2026年施工分区改变动线</x:v>
      </x:c>
      <x:c r="P27" s="20" t="str">
        <x:v>雨天可从站内看</x:v>
      </x:c>
      <x:c r="Q27" s="20" t="str">
        <x:v>施工至2026-12-30、客流过载</x:v>
      </x:c>
      <x:c r="R27" s="20" t="str">
        <x:v>不把观景台当完整体验；它只是验证列车与住宅空间关系</x:v>
      </x:c>
      <x:c r="S27" s="20" t="str">
        <x:v>比较站内、站外和上层道路三个地面</x:v>
      </x:c>
      <x:c r="T27" s="20" t="str">
        <x:v>https://www.cq.gov.cn/ywdt/jrcq/202606/t20260613_15751500.html</x:v>
      </x:c>
      <x:c r="U27" s="20" t="str">
        <x:v>https://www.cq.gov.cn/ywdt/jrcq/202605/t20260528_15709853.html</x:v>
      </x:c>
      <x:c r="V27" s="20" t="str">
        <x:v>2026-07-28</x:v>
      </x:c>
      <x:c r="W27" s="20" t="str">
        <x:v>引流钩子</x:v>
      </x:c>
      <x:c r="X27" s="23" t="n">
        <x:v>5</x:v>
      </x:c>
      <x:c r="Y27" s="23" t="n">
        <x:v>2</x:v>
      </x:c>
      <x:c r="Z27" s="23" t="n">
        <x:v>2</x:v>
      </x:c>
      <x:c r="AA27" s="20" t="str">
        <x:v>C 深度补充</x:v>
      </x:c>
      <x:c r="AB27" s="20" t="str">
        <x:v>交通奇观</x:v>
      </x:c>
      <x:c r="AC27" s="20" t="str">
        <x:v>赛博摄影|亲子轻松|首次经典</x:v>
      </x:c>
      <x:c r="AD27" s="20" t="str">
        <x:v>深度</x:v>
      </x:c>
      <x:c r="AE27" s="20" t="str">
        <x:v>外部观察但严格限时</x:v>
      </x:c>
      <x:c r="AF27" s="20" t="str">
        <x:v>外部观察但严格限时。不把观景台当完整体验；它只是验证列车与住宅空间关系</x:v>
      </x:c>
      <x:c r="AG27" s="20" t="str">
        <x:v>施工动线不稳时只保留乘车体验</x:v>
      </x:c>
      <x:c r="AH27" s="23" t="n">
        <x:f>ROUND(I27*'参数字典'!$B$16+J27*'参数字典'!$B$17+X27*20*'参数字典'!$B$18+Y27*20*'参数字典'!$B$19+Z27*20*'参数字典'!$B$20,0)</x:f>
        <x:v>67</x:v>
      </x:c>
    </x:row>
    <x:row r="28" ht="56" customHeight="1">
      <x:c r="A28" s="20" t="str">
        <x:v>CQ023</x:v>
      </x:c>
      <x:c r="B28" s="20" t="str">
        <x:v>鹅岭公园与瞰胜楼</x:v>
      </x:c>
      <x:c r="C28" s="20" t="str">
        <x:v>渝中</x:v>
      </x:c>
      <x:c r="D28" s="20" t="str">
        <x:v>D3世界城市</x:v>
      </x:c>
      <x:c r="E28" s="20" t="str">
        <x:v>公园/城市眺望</x:v>
      </x:c>
      <x:c r="F28" s="20" t="str">
        <x:v>深度推荐</x:v>
      </x:c>
      <x:c r="G28" s="20" t="str">
        <x:v>在高点复盘两江与半岛</x:v>
      </x:c>
      <x:c r="H28" s="20" t="str">
        <x:v>城市观察/摄影/本地生活</x:v>
      </x:c>
      <x:c r="I28" s="23" t="n">
        <x:v>80</x:v>
      </x:c>
      <x:c r="J28" s="23" t="n">
        <x:v>68</x:v>
      </x:c>
      <x:c r="K28" s="20" t="str">
        <x:v>C</x:v>
      </x:c>
      <x:c r="L28" s="23" t="n">
        <x:v>75</x:v>
      </x:c>
      <x:c r="M28" s="20" t="str">
        <x:v>日落前</x:v>
      </x:c>
      <x:c r="N28" s="20" t="str">
        <x:v>鹅岭站步行</x:v>
      </x:c>
      <x:c r="O28" s="20" t="str">
        <x:v>塔楼开放与能见度不稳定</x:v>
      </x:c>
      <x:c r="P28" s="20" t="str">
        <x:v>大雨改室内</x:v>
      </x:c>
      <x:c r="Q28" s="20" t="str">
        <x:v>坡道、雾霾、活动</x:v>
      </x:c>
      <x:c r="R28" s="20" t="str">
        <x:v>把观景从“拍夜景”转成城市读图与本地公园生活</x:v>
      </x:c>
      <x:c r="S28" s="20" t="str">
        <x:v>从高点指出两江、山脊和交通走廊</x:v>
      </x:c>
      <x:c r="T28" s="20" t="str">
        <x:v>https://ghzrzyj.cq.gov.cn/ztlm_186/ghgb/zxgh/202507/P020250716371670706300.pdf</x:v>
      </x:c>
      <x:c r="U28" s="20" t="str">
        <x:v>https://www.reddit.com/r/travelchina/comments/1o74mfa/trip_report_for_chongqing_4_night_stay/</x:v>
      </x:c>
      <x:c r="V28" s="20" t="str">
        <x:v>2026-07-28</x:v>
      </x:c>
      <x:c r="W28" s="20" t="str">
        <x:v>真实生活</x:v>
      </x:c>
      <x:c r="X28" s="23" t="n">
        <x:v>4</x:v>
      </x:c>
      <x:c r="Y28" s="23" t="n">
        <x:v>5</x:v>
      </x:c>
      <x:c r="Z28" s="23" t="n">
        <x:v>4</x:v>
      </x:c>
      <x:c r="AA28" s="20" t="str">
        <x:v>B 按兴趣</x:v>
      </x:c>
      <x:c r="AB28" s="20" t="str">
        <x:v>夜景/观景</x:v>
      </x:c>
      <x:c r="AC28" s="20" t="str">
        <x:v>赛博摄影|美食生活|亲子轻松|复游客|首次经典</x:v>
      </x:c>
      <x:c r="AD28" s="20" t="str">
        <x:v>标准|深度</x:v>
      </x:c>
      <x:c r="AE28" s="20" t="str">
        <x:v>在高点复盘两江与半岛</x:v>
      </x:c>
      <x:c r="AF28" s="20" t="str">
        <x:v>在高点复盘两江与半岛。把观景从“拍夜景”转成城市读图与本地公园生活</x:v>
      </x:c>
      <x:c r="AG28" s="20" t="str">
        <x:v>坡道、雾霾、活动</x:v>
      </x:c>
      <x:c r="AH28" s="23" t="n">
        <x:f>ROUND(I28*'参数字典'!$B$16+J28*'参数字典'!$B$17+X28*20*'参数字典'!$B$18+Y28*20*'参数字典'!$B$19+Z28*20*'参数字典'!$B$20,0)</x:f>
        <x:v>84</x:v>
      </x:c>
    </x:row>
    <x:row r="29" ht="56" customHeight="1">
      <x:c r="A29" s="20" t="str">
        <x:v>CQ024</x:v>
      </x:c>
      <x:c r="B29" s="20" t="str">
        <x:v>鹅岭二厂（TESTBED2）</x:v>
      </x:c>
      <x:c r="C29" s="20" t="str">
        <x:v>渝中</x:v>
      </x:c>
      <x:c r="D29" s="20" t="str">
        <x:v>D3世界城市</x:v>
      </x:c>
      <x:c r="E29" s="20" t="str">
        <x:v>工业更新/商业</x:v>
      </x:c>
      <x:c r="F29" s="20" t="str">
        <x:v>只顺路</x:v>
      </x:c>
      <x:c r="G29" s="20" t="str">
        <x:v>工业遗产更新对比样本</x:v>
      </x:c>
      <x:c r="H29" s="20" t="str">
        <x:v>摄影/年轻游客</x:v>
      </x:c>
      <x:c r="I29" s="23" t="n">
        <x:v>72</x:v>
      </x:c>
      <x:c r="J29" s="23" t="n">
        <x:v>60</x:v>
      </x:c>
      <x:c r="K29" s="20" t="str">
        <x:v>C</x:v>
      </x:c>
      <x:c r="L29" s="23" t="n">
        <x:v>30</x:v>
      </x:c>
      <x:c r="M29" s="20" t="str">
        <x:v>工作日下午</x:v>
      </x:c>
      <x:c r="N29" s="20" t="str">
        <x:v>鹅岭公园步行</x:v>
      </x:c>
      <x:c r="O29" s="20" t="str">
        <x:v>商户英语不稳定</x:v>
      </x:c>
      <x:c r="P29" s="20" t="str">
        <x:v>雨天可</x:v>
      </x:c>
      <x:c r="Q29" s="20" t="str">
        <x:v>商业同质、活动噪音</x:v>
      </x:c>
      <x:c r="R29" s="20" t="str">
        <x:v>不包装成独特文化地标；只讨论旧印刷厂如何被消费化</x:v>
      </x:c>
      <x:c r="S29" s="20" t="str">
        <x:v>找仍可读出的工业尺度、材料与新商业插入</x:v>
      </x:c>
      <x:c r="T29" s="20" t="str">
        <x:v>https://ghzrzyj.cq.gov.cn/bsfw_186/dtfw/mzyt/202511/t20251124_15184222_wap.html</x:v>
      </x:c>
      <x:c r="U29" s="20" t="str">
        <x:v>https://eprints.whiterose.ac.uk/id/eprint/185301/</x:v>
      </x:c>
      <x:c r="V29" s="20" t="str">
        <x:v>2026-07-28</x:v>
      </x:c>
      <x:c r="W29" s="20" t="str">
        <x:v>真实生活</x:v>
      </x:c>
      <x:c r="X29" s="23" t="n">
        <x:v>3</x:v>
      </x:c>
      <x:c r="Y29" s="23" t="n">
        <x:v>2</x:v>
      </x:c>
      <x:c r="Z29" s="23" t="n">
        <x:v>2</x:v>
      </x:c>
      <x:c r="AA29" s="20" t="str">
        <x:v>X 默认不输出</x:v>
      </x:c>
      <x:c r="AB29" s="20" t="str">
        <x:v>更新街区/老街</x:v>
      </x:c>
      <x:c r="AC29" s="20" t="str">
        <x:v>赛博摄影|美食生活|复游客|首次经典</x:v>
      </x:c>
      <x:c r="AD29" s="20" t="str">
        <x:v>仅定向</x:v>
      </x:c>
      <x:c r="AE29" s="20" t="str">
        <x:v>工业遗产更新对比样本</x:v>
      </x:c>
      <x:c r="AF29" s="20" t="str">
        <x:v>工业遗产更新对比样本。不包装成独特文化地标；只讨论旧印刷厂如何被消费化</x:v>
      </x:c>
      <x:c r="AG29" s="20" t="str">
        <x:v>与其他商业街重复时优先删除</x:v>
      </x:c>
      <x:c r="AH29" s="23" t="n">
        <x:f>ROUND(I29*'参数字典'!$B$16+J29*'参数字典'!$B$17+X29*20*'参数字典'!$B$18+Y29*20*'参数字典'!$B$19+Z29*20*'参数字典'!$B$20,0)</x:f>
        <x:v>53</x:v>
      </x:c>
    </x:row>
    <x:row r="30" ht="56" customHeight="1">
      <x:c r="A30" s="20" t="str">
        <x:v>CQ025</x:v>
      </x:c>
      <x:c r="B30" s="20" t="str">
        <x:v>重庆开埠遗址公园</x:v>
      </x:c>
      <x:c r="C30" s="20" t="str">
        <x:v>南岸</x:v>
      </x:c>
      <x:c r="D30" s="20" t="str">
        <x:v>D4A开埠山路</x:v>
      </x:c>
      <x:c r="E30" s="20" t="str">
        <x:v>开埠史/建筑</x:v>
      </x:c>
      <x:c r="F30" s="20" t="str">
        <x:v>必去核心</x:v>
      </x:c>
      <x:c r="G30" s="20" t="str">
        <x:v>把1891年开埠落到真实建筑群</x:v>
      </x:c>
      <x:c r="H30" s="20" t="str">
        <x:v>历史/建筑/国际游客</x:v>
      </x:c>
      <x:c r="I30" s="23" t="n">
        <x:v>94</x:v>
      </x:c>
      <x:c r="J30" s="23" t="n">
        <x:v>85</x:v>
      </x:c>
      <x:c r="K30" s="20" t="str">
        <x:v>A</x:v>
      </x:c>
      <x:c r="L30" s="23" t="n">
        <x:v>90</x:v>
      </x:c>
      <x:c r="M30" s="20" t="str">
        <x:v>上午</x:v>
      </x:c>
      <x:c r="N30" s="20" t="str">
        <x:v>上新街/短程车</x:v>
      </x:c>
      <x:c r="O30" s="20" t="str">
        <x:v>展陈英文覆盖待核验</x:v>
      </x:c>
      <x:c r="P30" s="20" t="str">
        <x:v>雨天部分可</x:v>
      </x:c>
      <x:c r="Q30" s="20" t="str">
        <x:v>活动、展馆开放变化</x:v>
      </x:c>
      <x:c r="R30" s="20" t="str">
        <x:v>讲川江航运、洋行、领馆与城市对外开放，不把开埠浪漫化</x:v>
      </x:c>
      <x:c r="S30" s="20" t="str">
        <x:v>辨认立德乐洋行等旧址与长江航道关系</x:v>
      </x:c>
      <x:c r="T30" s="20" t="str">
        <x:v>https://www.cq.gov.cn/ywdt/zwhd/bmdt/202511/t20251113_15160016.html</x:v>
      </x:c>
      <x:c r="U30" s="20" t="str">
        <x:v>https://www.cq.gov.cn/ywdt/jrcq/202605/t20260506_15650945.html</x:v>
      </x:c>
      <x:c r="V30" s="20" t="str">
        <x:v>2026-07-28</x:v>
      </x:c>
      <x:c r="W30" s="20" t="str">
        <x:v>核心解释/付费体验</x:v>
      </x:c>
      <x:c r="X30" s="23" t="n">
        <x:v>4</x:v>
      </x:c>
      <x:c r="Y30" s="23" t="n">
        <x:v>5</x:v>
      </x:c>
      <x:c r="Z30" s="23" t="n">
        <x:v>5</x:v>
      </x:c>
      <x:c r="AA30" s="20" t="str">
        <x:v>A 必须</x:v>
      </x:c>
      <x:c r="AB30" s="20" t="str">
        <x:v>独立主题</x:v>
      </x:c>
      <x:c r="AC30" s="20" t="str">
        <x:v>文化历史|复游客|首次经典</x:v>
      </x:c>
      <x:c r="AD30" s="20" t="str">
        <x:v>精简|标准|深度</x:v>
      </x:c>
      <x:c r="AE30" s="20" t="str">
        <x:v>把1891年开埠落到真实建筑群</x:v>
      </x:c>
      <x:c r="AF30" s="20" t="str">
        <x:v>把1891年开埠落到真实建筑群。讲川江航运、洋行、领馆与城市对外开放，不把开埠浪漫化</x:v>
      </x:c>
      <x:c r="AG30" s="20" t="str">
        <x:v>活动、展馆开放变化</x:v>
      </x:c>
      <x:c r="AH30" s="23" t="n">
        <x:f>ROUND(I30*'参数字典'!$B$16+J30*'参数字典'!$B$17+X30*20*'参数字典'!$B$18+Y30*20*'参数字典'!$B$19+Z30*20*'参数字典'!$B$20,0)</x:f>
        <x:v>93</x:v>
      </x:c>
    </x:row>
    <x:row r="31" ht="56" customHeight="1">
      <x:c r="A31" s="20" t="str">
        <x:v>CQ026</x:v>
      </x:c>
      <x:c r="B31" s="20" t="str">
        <x:v>龙门浩—下浩里</x:v>
      </x:c>
      <x:c r="C31" s="20" t="str">
        <x:v>南岸</x:v>
      </x:c>
      <x:c r="D31" s="20" t="str">
        <x:v>D4A开埠山路</x:v>
      </x:c>
      <x:c r="E31" s="20" t="str">
        <x:v>历史街区/更新</x:v>
      </x:c>
      <x:c r="F31" s="20" t="str">
        <x:v>深度推荐</x:v>
      </x:c>
      <x:c r="G31" s="20" t="str">
        <x:v>开埠、街巷与更新的收束</x:v>
      </x:c>
      <x:c r="H31" s="20" t="str">
        <x:v>城市史/建筑/摄影</x:v>
      </x:c>
      <x:c r="I31" s="23" t="n">
        <x:v>87</x:v>
      </x:c>
      <x:c r="J31" s="23" t="n">
        <x:v>85</x:v>
      </x:c>
      <x:c r="K31" s="20" t="str">
        <x:v>A</x:v>
      </x:c>
      <x:c r="L31" s="23" t="n">
        <x:v>120</x:v>
      </x:c>
      <x:c r="M31" s="20" t="str">
        <x:v>日落前后</x:v>
      </x:c>
      <x:c r="N31" s="20" t="str">
        <x:v>上新街站步行</x:v>
      </x:c>
      <x:c r="O31" s="20" t="str">
        <x:v>台阶和入口层级</x:v>
      </x:c>
      <x:c r="P31" s="20" t="str">
        <x:v>低体力只走龙门浩上层</x:v>
      </x:c>
      <x:c r="Q31" s="20" t="str">
        <x:v>商业化、节假日大客流</x:v>
      </x:c>
      <x:c r="R31" s="20" t="str">
        <x:v>与十八梯对照：同为更新街区，但历史环境和江岸关系不同</x:v>
      </x:c>
      <x:c r="S31" s="20" t="str">
        <x:v>比较保留建筑、修复立面、新商业与居民空间</x:v>
      </x:c>
      <x:c r="T31" s="20" t="str">
        <x:v>https://www.cq.gov.cn/ywdt/zwhd/bmdt/202511/t20251113_15160016.html</x:v>
      </x:c>
      <x:c r="U31" s="20" t="str">
        <x:v>https://ghzrzyj.cq.gov.cn/bsfw_186/dtfw/mzyt/202511/t20251124_15184222_wap.html</x:v>
      </x:c>
      <x:c r="V31" s="20" t="str">
        <x:v>2026-07-28</x:v>
      </x:c>
      <x:c r="W31" s="20" t="str">
        <x:v>真实生活</x:v>
      </x:c>
      <x:c r="X31" s="23" t="n">
        <x:v>4</x:v>
      </x:c>
      <x:c r="Y31" s="23" t="n">
        <x:v>4</x:v>
      </x:c>
      <x:c r="Z31" s="23" t="n">
        <x:v>4</x:v>
      </x:c>
      <x:c r="AA31" s="20" t="str">
        <x:v>B 按兴趣</x:v>
      </x:c>
      <x:c r="AB31" s="20" t="str">
        <x:v>更新街区/老街</x:v>
      </x:c>
      <x:c r="AC31" s="20" t="str">
        <x:v>赛博摄影|文化历史|美食生活|复游客|首次经典</x:v>
      </x:c>
      <x:c r="AD31" s="20" t="str">
        <x:v>标准|深度</x:v>
      </x:c>
      <x:c r="AE31" s="20" t="str">
        <x:v>开埠、街巷与更新的收束</x:v>
      </x:c>
      <x:c r="AF31" s="20" t="str">
        <x:v>开埠、街巷与更新的收束。与十八梯对照：同为更新街区，但历史环境和江岸关系不同</x:v>
      </x:c>
      <x:c r="AG31" s="20" t="str">
        <x:v>商业化、节假日大客流</x:v>
      </x:c>
      <x:c r="AH31" s="23" t="n">
        <x:f>ROUND(I31*'参数字典'!$B$16+J31*'参数字典'!$B$17+X31*20*'参数字典'!$B$18+Y31*20*'参数字典'!$B$19+Z31*20*'参数字典'!$B$20,0)</x:f>
        <x:v>82</x:v>
      </x:c>
    </x:row>
    <x:row r="32" ht="56" customHeight="1">
      <x:c r="A32" s="20" t="str">
        <x:v>CQ027</x:v>
      </x:c>
      <x:c r="B32" s="20" t="str">
        <x:v>黄葛古道</x:v>
      </x:c>
      <x:c r="C32" s="20" t="str">
        <x:v>南岸</x:v>
      </x:c>
      <x:c r="D32" s="20" t="str">
        <x:v>D4A开埠山路</x:v>
      </x:c>
      <x:c r="E32" s="20" t="str">
        <x:v>古道/山地步行</x:v>
      </x:c>
      <x:c r="F32" s="20" t="str">
        <x:v>深度推荐</x:v>
      </x:c>
      <x:c r="G32" s="20" t="str">
        <x:v>山地交通与日常路径的长距离体验</x:v>
      </x:c>
      <x:c r="H32" s="20" t="str">
        <x:v>背包客/徒步/城市观察</x:v>
      </x:c>
      <x:c r="I32" s="23" t="n">
        <x:v>78</x:v>
      </x:c>
      <x:c r="J32" s="23" t="n">
        <x:v>76</x:v>
      </x:c>
      <x:c r="K32" s="20" t="str">
        <x:v>B</x:v>
      </x:c>
      <x:c r="L32" s="23" t="n">
        <x:v>150</x:v>
      </x:c>
      <x:c r="M32" s="20" t="str">
        <x:v>凉季上午/夏季清晨</x:v>
      </x:c>
      <x:c r="N32" s="20" t="str">
        <x:v>上新街向黄桷垭上行或反向</x:v>
      </x:c>
      <x:c r="O32" s="20" t="str">
        <x:v>连续爬升、英语和补给不足</x:v>
      </x:c>
      <x:c r="P32" s="20" t="str">
        <x:v>低体力删除</x:v>
      </x:c>
      <x:c r="Q32" s="20" t="str">
        <x:v>高温、湿滑、体力透支</x:v>
      </x:c>
      <x:c r="R32" s="20" t="str">
        <x:v>把古道视为运输与聚落路径，不只是一段绿荫</x:v>
      </x:c>
      <x:c r="S32" s="20" t="str">
        <x:v>记录路面、节点、树荫、居民使用和坡度变化</x:v>
      </x:c>
      <x:c r="T32" s="20" t="str">
        <x:v>https://www.cq.gov.cn/zwgk/zfxxgkml/zdlyxxgk/ggwh/ly/zxdt/202511/t20251107_15146900.html</x:v>
      </x:c>
      <x:c r="U32" s="20" t="str">
        <x:v>https://www.shplanning.com.cn/archive/download/id/487.html</x:v>
      </x:c>
      <x:c r="V32" s="20" t="str">
        <x:v>2026-07-28</x:v>
      </x:c>
      <x:c r="W32" s="20" t="str">
        <x:v>核心解释/付费体验</x:v>
      </x:c>
      <x:c r="X32" s="23" t="n">
        <x:v>3</x:v>
      </x:c>
      <x:c r="Y32" s="23" t="n">
        <x:v>5</x:v>
      </x:c>
      <x:c r="Z32" s="23" t="n">
        <x:v>5</x:v>
      </x:c>
      <x:c r="AA32" s="20" t="str">
        <x:v>B 按兴趣</x:v>
      </x:c>
      <x:c r="AB32" s="20" t="str">
        <x:v>高体力步道</x:v>
      </x:c>
      <x:c r="AC32" s="20" t="str">
        <x:v>文化历史|复游客|首次经典</x:v>
      </x:c>
      <x:c r="AD32" s="20" t="str">
        <x:v>标准|深度</x:v>
      </x:c>
      <x:c r="AE32" s="20" t="str">
        <x:v>山地交通与日常路径的长距离体验</x:v>
      </x:c>
      <x:c r="AF32" s="20" t="str">
        <x:v>山地交通与日常路径的长距离体验。把古道视为运输与聚落路径，不只是一段绿荫</x:v>
      </x:c>
      <x:c r="AG32" s="20" t="str">
        <x:v>雨天、低体力或未实测路线即删除</x:v>
      </x:c>
      <x:c r="AH32" s="23" t="n">
        <x:f>ROUND(I32*'参数字典'!$B$16+J32*'参数字典'!$B$17+X32*20*'参数字典'!$B$18+Y32*20*'参数字典'!$B$19+Z32*20*'参数字典'!$B$20,0)</x:f>
        <x:v>84</x:v>
      </x:c>
    </x:row>
    <x:row r="33" ht="56" customHeight="1">
      <x:c r="A33" s="20" t="str">
        <x:v>CQ028</x:v>
      </x:c>
      <x:c r="B33" s="20" t="str">
        <x:v>黄桷垭老街</x:v>
      </x:c>
      <x:c r="C33" s="20" t="str">
        <x:v>南岸</x:v>
      </x:c>
      <x:c r="D33" s="20" t="str">
        <x:v>D4A开埠山路</x:v>
      </x:c>
      <x:c r="E33" s="20" t="str">
        <x:v>山上聚落/老街</x:v>
      </x:c>
      <x:c r="F33" s="20" t="str">
        <x:v>条件推荐</x:v>
      </x:c>
      <x:c r="G33" s="20" t="str">
        <x:v>黄葛古道恢复节点</x:v>
      </x:c>
      <x:c r="H33" s="20" t="str">
        <x:v>徒步/慢旅行</x:v>
      </x:c>
      <x:c r="I33" s="23" t="n">
        <x:v>76</x:v>
      </x:c>
      <x:c r="J33" s="23" t="n">
        <x:v>63</x:v>
      </x:c>
      <x:c r="K33" s="20" t="str">
        <x:v>C</x:v>
      </x:c>
      <x:c r="L33" s="23" t="n">
        <x:v>60</x:v>
      </x:c>
      <x:c r="M33" s="20" t="str">
        <x:v>午间</x:v>
      </x:c>
      <x:c r="N33" s="20" t="str">
        <x:v>古道上端</x:v>
      </x:c>
      <x:c r="O33" s="20" t="str">
        <x:v>英语不稳定</x:v>
      </x:c>
      <x:c r="P33" s="20" t="str">
        <x:v>雨天可</x:v>
      </x:c>
      <x:c r="Q33" s="20" t="str">
        <x:v>商业化、餐饮质量</x:v>
      </x:c>
      <x:c r="R33" s="20" t="str">
        <x:v>不要再堆“古街”；讲山口聚落如何服务往来人群</x:v>
      </x:c>
      <x:c r="S33" s="20" t="str">
        <x:v>观察地名、街巷尺度和补给功能</x:v>
      </x:c>
      <x:c r="T33" s="20" t="str">
        <x:v>https://www.cq.gov.cn/zwgk/zfxxgkml/zdlyxxgk/ggwh/ly/zxdt/202511/t20251107_15146900.html</x:v>
      </x:c>
      <x:c r="U33" s="20" t="str">
        <x:v>https://ghzrzyj.cq.gov.cn/bsfw_186/dtfw/mzyt/202511/t20251124_15184222_wap.html</x:v>
      </x:c>
      <x:c r="V33" s="20" t="str">
        <x:v>2026-07-28</x:v>
      </x:c>
      <x:c r="W33" s="20" t="str">
        <x:v>真实生活</x:v>
      </x:c>
      <x:c r="X33" s="23" t="n">
        <x:v>2</x:v>
      </x:c>
      <x:c r="Y33" s="23" t="n">
        <x:v>2</x:v>
      </x:c>
      <x:c r="Z33" s="23" t="n">
        <x:v>2</x:v>
      </x:c>
      <x:c r="AA33" s="20" t="str">
        <x:v>C 深度补充</x:v>
      </x:c>
      <x:c r="AB33" s="20" t="str">
        <x:v>更新街区/老街</x:v>
      </x:c>
      <x:c r="AC33" s="20" t="str">
        <x:v>文化历史|美食生活|复游客|首次经典</x:v>
      </x:c>
      <x:c r="AD33" s="20" t="str">
        <x:v>深度</x:v>
      </x:c>
      <x:c r="AE33" s="20" t="str">
        <x:v>黄葛古道恢复节点</x:v>
      </x:c>
      <x:c r="AF33" s="20" t="str">
        <x:v>黄葛古道恢复节点。不要再堆“古街”；讲山口聚落如何服务往来人群</x:v>
      </x:c>
      <x:c r="AG33" s="20" t="str">
        <x:v>商业化、餐饮质量</x:v>
      </x:c>
      <x:c r="AH33" s="23" t="n">
        <x:f>ROUND(I33*'参数字典'!$B$16+J33*'参数字典'!$B$17+X33*20*'参数字典'!$B$18+Y33*20*'参数字典'!$B$19+Z33*20*'参数字典'!$B$20,0)</x:f>
        <x:v>51</x:v>
      </x:c>
    </x:row>
    <x:row r="34" ht="56" customHeight="1">
      <x:c r="A34" s="20" t="str">
        <x:v>CQ029</x:v>
      </x:c>
      <x:c r="B34" s="20" t="str">
        <x:v>黄桷坪涂鸦街与川美旧校区周边</x:v>
      </x:c>
      <x:c r="C34" s="20" t="str">
        <x:v>九龙坡</x:v>
      </x:c>
      <x:c r="D34" s="20" t="str">
        <x:v>D4B工业艺术</x:v>
      </x:c>
      <x:c r="E34" s="20" t="str">
        <x:v>艺术社区</x:v>
      </x:c>
      <x:c r="F34" s="20" t="str">
        <x:v>深度推荐</x:v>
      </x:c>
      <x:c r="G34" s="20" t="str">
        <x:v>学院艺术如何进入社区表面</x:v>
      </x:c>
      <x:c r="H34" s="20" t="str">
        <x:v>艺术/摄影/年轻游客</x:v>
      </x:c>
      <x:c r="I34" s="23" t="n">
        <x:v>80</x:v>
      </x:c>
      <x:c r="J34" s="23" t="n">
        <x:v>76</x:v>
      </x:c>
      <x:c r="K34" s="20" t="str">
        <x:v>B</x:v>
      </x:c>
      <x:c r="L34" s="23" t="n">
        <x:v>90</x:v>
      </x:c>
      <x:c r="M34" s="20" t="str">
        <x:v>工作日上午</x:v>
      </x:c>
      <x:c r="N34" s="20" t="str">
        <x:v>杨家坪/短程车</x:v>
      </x:c>
      <x:c r="O34" s="20" t="str">
        <x:v>校园开放边界与英文服务</x:v>
      </x:c>
      <x:c r="P34" s="20" t="str">
        <x:v>小雨可</x:v>
      </x:c>
      <x:c r="Q34" s="20" t="str">
        <x:v>内容老化、校园限制</x:v>
      </x:c>
      <x:c r="R34" s="20" t="str">
        <x:v>不把每面墙当艺术；讲学院、社区更新和公共空间之间的关系</x:v>
      </x:c>
      <x:c r="S34" s="20" t="str">
        <x:v>区分官方项目、自然老化与商业二次利用</x:v>
      </x:c>
      <x:c r="T34" s="20" t="str">
        <x:v>https://mzj.cq.gov.cn/sy_218/bmdt/mzyw/t_14233171.html</x:v>
      </x:c>
      <x:c r="U34" s="20" t="str">
        <x:v>https://ghzrzyj.cq.gov.cn/bsfw_186/dtfw/mzyt/202511/t20251124_15184222_wap.html</x:v>
      </x:c>
      <x:c r="V34" s="20" t="str">
        <x:v>2026-07-28</x:v>
      </x:c>
      <x:c r="W34" s="20" t="str">
        <x:v>真实生活</x:v>
      </x:c>
      <x:c r="X34" s="23" t="n">
        <x:v>3</x:v>
      </x:c>
      <x:c r="Y34" s="23" t="n">
        <x:v>4</x:v>
      </x:c>
      <x:c r="Z34" s="23" t="n">
        <x:v>4</x:v>
      </x:c>
      <x:c r="AA34" s="20" t="str">
        <x:v>B 按兴趣</x:v>
      </x:c>
      <x:c r="AB34" s="20" t="str">
        <x:v>更新街区/老街</x:v>
      </x:c>
      <x:c r="AC34" s="20" t="str">
        <x:v>赛博摄影|美食生活|复游客|首次经典</x:v>
      </x:c>
      <x:c r="AD34" s="20" t="str">
        <x:v>标准|深度</x:v>
      </x:c>
      <x:c r="AE34" s="20" t="str">
        <x:v>学院艺术如何进入社区表面</x:v>
      </x:c>
      <x:c r="AF34" s="20" t="str">
        <x:v>学院艺术如何进入社区表面。不把每面墙当艺术；讲学院、社区更新和公共空间之间的关系</x:v>
      </x:c>
      <x:c r="AG34" s="20" t="str">
        <x:v>内容老化、校园限制</x:v>
      </x:c>
      <x:c r="AH34" s="23" t="n">
        <x:f>ROUND(I34*'参数字典'!$B$16+J34*'参数字典'!$B$17+X34*20*'参数字典'!$B$18+Y34*20*'参数字典'!$B$19+Z34*20*'参数字典'!$B$20,0)</x:f>
        <x:v>75</x:v>
      </x:c>
    </x:row>
    <x:row r="35" ht="56" customHeight="1">
      <x:c r="A35" s="20" t="str">
        <x:v>CQ030</x:v>
      </x:c>
      <x:c r="B35" s="20" t="str">
        <x:v>交通茶馆</x:v>
      </x:c>
      <x:c r="C35" s="20" t="str">
        <x:v>九龙坡</x:v>
      </x:c>
      <x:c r="D35" s="20" t="str">
        <x:v>D4B工业艺术</x:v>
      </x:c>
      <x:c r="E35" s="20" t="str">
        <x:v>茶馆/社会空间</x:v>
      </x:c>
      <x:c r="F35" s="20" t="str">
        <x:v>条件推荐</x:v>
      </x:c>
      <x:c r="G35" s="20" t="str">
        <x:v>真实社会空间但旅游化明显</x:v>
      </x:c>
      <x:c r="H35" s="20" t="str">
        <x:v>文化/摄影/慢旅行</x:v>
      </x:c>
      <x:c r="I35" s="23" t="n">
        <x:v>82</x:v>
      </x:c>
      <x:c r="J35" s="23" t="n">
        <x:v>68</x:v>
      </x:c>
      <x:c r="K35" s="20" t="str">
        <x:v>C</x:v>
      </x:c>
      <x:c r="L35" s="23" t="n">
        <x:v>45</x:v>
      </x:c>
      <x:c r="M35" s="20" t="str">
        <x:v>工作日上午</x:v>
      </x:c>
      <x:c r="N35" s="20" t="str">
        <x:v>黄桷坪步行</x:v>
      </x:c>
      <x:c r="O35" s="20" t="str">
        <x:v>无稳定英语；拍摄伦理</x:v>
      </x:c>
      <x:c r="P35" s="20" t="str">
        <x:v>雨天核心</x:v>
      </x:c>
      <x:c r="Q35" s="20" t="str">
        <x:v>扰民、摆拍、座位冲突</x:v>
      </x:c>
      <x:c r="R35" s="20" t="str">
        <x:v>从“老重庆滤镜”转向座位、熟客、消费和摄影权的社会规则</x:v>
      </x:c>
      <x:c r="S35" s="20" t="str">
        <x:v>先喝茶再观察；未经同意不近距离拍人</x:v>
      </x:c>
      <x:c r="T35" s="20" t="str">
        <x:v>https://mzj.cq.gov.cn/sy_218/bmdt/mzyw/t_14233171.html</x:v>
      </x:c>
      <x:c r="U35" s="20" t="str">
        <x:v>https://eprints.whiterose.ac.uk/id/eprint/185301/</x:v>
      </x:c>
      <x:c r="V35" s="20" t="str">
        <x:v>2026-07-28</x:v>
      </x:c>
      <x:c r="W35" s="20" t="str">
        <x:v>真实生活/付费体验</x:v>
      </x:c>
      <x:c r="X35" s="23" t="n">
        <x:v>2</x:v>
      </x:c>
      <x:c r="Y35" s="23" t="n">
        <x:v>4</x:v>
      </x:c>
      <x:c r="Z35" s="23" t="n">
        <x:v>5</x:v>
      </x:c>
      <x:c r="AA35" s="20" t="str">
        <x:v>C 深度补充</x:v>
      </x:c>
      <x:c r="AB35" s="20" t="str">
        <x:v>社区/生活</x:v>
      </x:c>
      <x:c r="AC35" s="20" t="str">
        <x:v>赛博摄影|美食生活|复游客|首次经典</x:v>
      </x:c>
      <x:c r="AD35" s="20" t="str">
        <x:v>深度</x:v>
      </x:c>
      <x:c r="AE35" s="20" t="str">
        <x:v>真实社会空间但旅游化明显</x:v>
      </x:c>
      <x:c r="AF35" s="20" t="str">
        <x:v>真实社会空间但旅游化明显。从“老重庆滤镜”转向座位、熟客、消费和摄影权的社会规则</x:v>
      </x:c>
      <x:c r="AG35" s="20" t="str">
        <x:v>未取得店方拍摄与团队许可即删除</x:v>
      </x:c>
      <x:c r="AH35" s="23" t="n">
        <x:f>ROUND(I35*'参数字典'!$B$16+J35*'参数字典'!$B$17+X35*20*'参数字典'!$B$18+Y35*20*'参数字典'!$B$19+Z35*20*'参数字典'!$B$20,0)</x:f>
        <x:v>74</x:v>
      </x:c>
    </x:row>
    <x:row r="36" ht="56" customHeight="1">
      <x:c r="A36" s="20" t="str">
        <x:v>CQ031</x:v>
      </x:c>
      <x:c r="B36" s="20" t="str">
        <x:v>四川美术学院黄桷坪校区周边</x:v>
      </x:c>
      <x:c r="C36" s="20" t="str">
        <x:v>九龙坡</x:v>
      </x:c>
      <x:c r="D36" s="20" t="str">
        <x:v>D4B工业艺术</x:v>
      </x:c>
      <x:c r="E36" s="20" t="str">
        <x:v>学院/展览</x:v>
      </x:c>
      <x:c r="F36" s="20" t="str">
        <x:v>条件推荐</x:v>
      </x:c>
      <x:c r="G36" s="20" t="str">
        <x:v>艺术客群定向模块</x:v>
      </x:c>
      <x:c r="H36" s="20" t="str">
        <x:v>艺术专业/驻留/B2B</x:v>
      </x:c>
      <x:c r="I36" s="23" t="n">
        <x:v>77</x:v>
      </x:c>
      <x:c r="J36" s="23" t="n">
        <x:v>63</x:v>
      </x:c>
      <x:c r="K36" s="20" t="str">
        <x:v>C</x:v>
      </x:c>
      <x:c r="L36" s="23" t="n">
        <x:v>75</x:v>
      </x:c>
      <x:c r="M36" s="20" t="str">
        <x:v>有展览时</x:v>
      </x:c>
      <x:c r="N36" s="20" t="str">
        <x:v>黄桷坪步行</x:v>
      </x:c>
      <x:c r="O36" s="20" t="str">
        <x:v>校园进入与展览信息不稳定</x:v>
      </x:c>
      <x:c r="P36" s="20" t="str">
        <x:v>雨天优先展馆</x:v>
      </x:c>
      <x:c r="Q36" s="20" t="str">
        <x:v>校园管控、展期变化</x:v>
      </x:c>
      <x:c r="R36" s="20" t="str">
        <x:v>将学院史、四川画派和社区艺术联系起来，避免只拍校门</x:v>
      </x:c>
      <x:c r="S36" s="20" t="str">
        <x:v>只在有公开展览或校方合作时进入产品</x:v>
      </x:c>
      <x:c r="T36" s="20" t="str">
        <x:v>https://mzj.cq.gov.cn/sy_218/bmdt/mzyw/t_14233171.html</x:v>
      </x:c>
      <x:c r="U36" s="20" t="str">
        <x:v>https://ghzrzyj.cq.gov.cn/bsfw_186/dtfw/mzyt/202511/t20251124_15184222_wap.html</x:v>
      </x:c>
      <x:c r="V36" s="20" t="str">
        <x:v>2026-07-28</x:v>
      </x:c>
      <x:c r="W36" s="20" t="str">
        <x:v>真实生活</x:v>
      </x:c>
      <x:c r="X36" s="23" t="n">
        <x:v>2</x:v>
      </x:c>
      <x:c r="Y36" s="23" t="n">
        <x:v>2</x:v>
      </x:c>
      <x:c r="Z36" s="23" t="n">
        <x:v>2</x:v>
      </x:c>
      <x:c r="AA36" s="20" t="str">
        <x:v>C 深度补充</x:v>
      </x:c>
      <x:c r="AB36" s="20" t="str">
        <x:v>社区/生活</x:v>
      </x:c>
      <x:c r="AC36" s="20" t="str">
        <x:v>美食生活|复游客|首次经典</x:v>
      </x:c>
      <x:c r="AD36" s="20" t="str">
        <x:v>深度</x:v>
      </x:c>
      <x:c r="AE36" s="20" t="str">
        <x:v>艺术客群定向模块</x:v>
      </x:c>
      <x:c r="AF36" s="20" t="str">
        <x:v>艺术客群定向模块。将学院史、四川画派和社区艺术联系起来，避免只拍校门</x:v>
      </x:c>
      <x:c r="AG36" s="20" t="str">
        <x:v>校园管控、展期变化</x:v>
      </x:c>
      <x:c r="AH36" s="23" t="n">
        <x:f>ROUND(I36*'参数字典'!$B$16+J36*'参数字典'!$B$17+X36*20*'参数字典'!$B$18+Y36*20*'参数字典'!$B$19+Z36*20*'参数字典'!$B$20,0)</x:f>
        <x:v>51</x:v>
      </x:c>
    </x:row>
    <x:row r="37" ht="56" customHeight="1">
      <x:c r="A37" s="20" t="str">
        <x:v>CQ032</x:v>
      </x:c>
      <x:c r="B37" s="20" t="str">
        <x:v>重庆建川博物馆聚落</x:v>
      </x:c>
      <x:c r="C37" s="20" t="str">
        <x:v>九龙坡</x:v>
      </x:c>
      <x:c r="D37" s="20" t="str">
        <x:v>D4B工业艺术</x:v>
      </x:c>
      <x:c r="E37" s="20" t="str">
        <x:v>工业/战争博物馆</x:v>
      </x:c>
      <x:c r="F37" s="20" t="str">
        <x:v>深度推荐</x:v>
      </x:c>
      <x:c r="G37" s="20" t="str">
        <x:v>在防空洞与工业遗存中收束城市史</x:v>
      </x:c>
      <x:c r="H37" s="20" t="str">
        <x:v>历史/工业/亲子</x:v>
      </x:c>
      <x:c r="I37" s="23" t="n">
        <x:v>84</x:v>
      </x:c>
      <x:c r="J37" s="23" t="n">
        <x:v>80</x:v>
      </x:c>
      <x:c r="K37" s="20" t="str">
        <x:v>B</x:v>
      </x:c>
      <x:c r="L37" s="23" t="n">
        <x:v>150</x:v>
      </x:c>
      <x:c r="M37" s="20" t="str">
        <x:v>下午</x:v>
      </x:c>
      <x:c r="N37" s="20" t="str">
        <x:v>谢家湾+步行/车</x:v>
      </x:c>
      <x:c r="O37" s="20" t="str">
        <x:v>票务、英文与洞内动线待核验</x:v>
      </x:c>
      <x:c r="P37" s="20" t="str">
        <x:v>雨天核心</x:v>
      </x:c>
      <x:c r="Q37" s="20" t="str">
        <x:v>台阶、洞内温湿度、闭馆</x:v>
      </x:c>
      <x:c r="R37" s="20" t="str">
        <x:v>不是泛军事打卡；讲兵工、工业内迁与防空空间</x:v>
      </x:c>
      <x:c r="S37" s="20" t="str">
        <x:v>观察防空洞如何从生产/避难空间转为博物馆</x:v>
      </x:c>
      <x:c r="T37" s="20" t="str">
        <x:v>https://whlyw.cq.gov.cn/hdjl_221/xzzq/202601/t20260115_15320860.html</x:v>
      </x:c>
      <x:c r="U37" s="20" t="str">
        <x:v>https://www.cq.gov.cn/ywdt/zwhd/qxdt/202009/t20200907_8628081.html</x:v>
      </x:c>
      <x:c r="V37" s="20" t="str">
        <x:v>2026-07-28</x:v>
      </x:c>
      <x:c r="W37" s="20" t="str">
        <x:v>核心解释/付费体验</x:v>
      </x:c>
      <x:c r="X37" s="23" t="n">
        <x:v>3</x:v>
      </x:c>
      <x:c r="Y37" s="23" t="n">
        <x:v>4</x:v>
      </x:c>
      <x:c r="Z37" s="23" t="n">
        <x:v>5</x:v>
      </x:c>
      <x:c r="AA37" s="20" t="str">
        <x:v>B 按兴趣</x:v>
      </x:c>
      <x:c r="AB37" s="20" t="str">
        <x:v>博物馆/历史场馆</x:v>
      </x:c>
      <x:c r="AC37" s="20" t="str">
        <x:v>文化历史|亲子轻松|复游客|首次经典</x:v>
      </x:c>
      <x:c r="AD37" s="20" t="str">
        <x:v>标准|深度</x:v>
      </x:c>
      <x:c r="AE37" s="20" t="str">
        <x:v>在防空洞与工业遗存中收束城市史</x:v>
      </x:c>
      <x:c r="AF37" s="20" t="str">
        <x:v>在防空洞与工业遗存中收束城市史。不是泛军事打卡；讲兵工、工业内迁与防空空间</x:v>
      </x:c>
      <x:c r="AG37" s="20" t="str">
        <x:v>台阶、洞内温湿度、闭馆</x:v>
      </x:c>
      <x:c r="AH37" s="23" t="n">
        <x:f>ROUND(I37*'参数字典'!$B$16+J37*'参数字典'!$B$17+X37*20*'参数字典'!$B$18+Y37*20*'参数字典'!$B$19+Z37*20*'参数字典'!$B$20,0)</x:f>
        <x:v>80</x:v>
      </x:c>
    </x:row>
    <x:row r="38" ht="56" customHeight="1">
      <x:c r="A38" s="20" t="str">
        <x:v>CQ033</x:v>
      </x:c>
      <x:c r="B38" s="20" t="str">
        <x:v>皇冠大扶梯</x:v>
      </x:c>
      <x:c r="C38" s="20" t="str">
        <x:v>渝中</x:v>
      </x:c>
      <x:c r="D38" s="20" t="str">
        <x:v>可选交通</x:v>
      </x:c>
      <x:c r="E38" s="20" t="str">
        <x:v>坡地交通</x:v>
      </x:c>
      <x:c r="F38" s="20" t="str">
        <x:v>条件推荐</x:v>
      </x:c>
      <x:c r="G38" s="20" t="str">
        <x:v>短时体验垂直公共交通</x:v>
      </x:c>
      <x:c r="H38" s="20" t="str">
        <x:v>交通/亲子/摄影</x:v>
      </x:c>
      <x:c r="I38" s="23" t="n">
        <x:v>79</x:v>
      </x:c>
      <x:c r="J38" s="23" t="n">
        <x:v>76</x:v>
      </x:c>
      <x:c r="K38" s="20" t="str">
        <x:v>B</x:v>
      </x:c>
      <x:c r="L38" s="23" t="n">
        <x:v>15</x:v>
      </x:c>
      <x:c r="M38" s="20" t="str">
        <x:v>08:00—20:00参考</x:v>
      </x:c>
      <x:c r="N38" s="20" t="str">
        <x:v>两路口—菜园坝</x:v>
      </x:c>
      <x:c r="O38" s="20" t="str">
        <x:v>速度快；不能转身拍摄</x:v>
      </x:c>
      <x:c r="P38" s="20" t="str">
        <x:v>雨天可</x:v>
      </x:c>
      <x:c r="Q38" s="20" t="str">
        <x:v>维护、节假日时段变化</x:v>
      </x:c>
      <x:c r="R38" s="20" t="str">
        <x:v>不是游乐设施；讲火车站时代的垂直换乘</x:v>
      </x:c>
      <x:c r="S38" s="20" t="str">
        <x:v>安全站立，观察上下端如何接入城市道路</x:v>
      </x:c>
      <x:c r="T38" s="20" t="str">
        <x:v>https://cq.gov.cn/ywdt/bmts/202505/t20250529_14669045.html</x:v>
      </x:c>
      <x:c r="U38" s="20" t="str">
        <x:v>https://www.shplanning.com.cn/archive/download/id/487.html</x:v>
      </x:c>
      <x:c r="V38" s="20" t="str">
        <x:v>2026-07-28</x:v>
      </x:c>
      <x:c r="W38" s="20" t="str">
        <x:v>引流钩子</x:v>
      </x:c>
      <x:c r="X38" s="23" t="n">
        <x:v>4</x:v>
      </x:c>
      <x:c r="Y38" s="23" t="n">
        <x:v>2</x:v>
      </x:c>
      <x:c r="Z38" s="23" t="n">
        <x:v>2</x:v>
      </x:c>
      <x:c r="AA38" s="20" t="str">
        <x:v>C 深度补充</x:v>
      </x:c>
      <x:c r="AB38" s="20" t="str">
        <x:v>交通奇观</x:v>
      </x:c>
      <x:c r="AC38" s="20" t="str">
        <x:v>赛博摄影|亲子轻松|首次经典</x:v>
      </x:c>
      <x:c r="AD38" s="20" t="str">
        <x:v>深度</x:v>
      </x:c>
      <x:c r="AE38" s="20" t="str">
        <x:v>短时体验垂直公共交通</x:v>
      </x:c>
      <x:c r="AF38" s="20" t="str">
        <x:v>短时体验垂直公共交通。不是游乐设施；讲火车站时代的垂直换乘</x:v>
      </x:c>
      <x:c r="AG38" s="20" t="str">
        <x:v>维护、节假日时段变化</x:v>
      </x:c>
      <x:c r="AH38" s="23" t="n">
        <x:f>ROUND(I38*'参数字典'!$B$16+J38*'参数字典'!$B$17+X38*20*'参数字典'!$B$18+Y38*20*'参数字典'!$B$19+Z38*20*'参数字典'!$B$20,0)</x:f>
        <x:v>61</x:v>
      </x:c>
    </x:row>
    <x:row r="39" ht="56" customHeight="1">
      <x:c r="A39" s="20" t="str">
        <x:v>CQ034</x:v>
      </x:c>
      <x:c r="B39" s="20" t="str">
        <x:v>长江索道</x:v>
      </x:c>
      <x:c r="C39" s="20" t="str">
        <x:v>渝中—南岸</x:v>
      </x:c>
      <x:c r="D39" s="20" t="str">
        <x:v>可选交通</x:v>
      </x:c>
      <x:c r="E39" s="20" t="str">
        <x:v>跨江交通/景区</x:v>
      </x:c>
      <x:c r="F39" s="20" t="str">
        <x:v>条件推荐</x:v>
      </x:c>
      <x:c r="G39" s="20" t="str">
        <x:v>排队低于阈值才使用</x:v>
      </x:c>
      <x:c r="H39" s="20" t="str">
        <x:v>首次来渝/亲子</x:v>
      </x:c>
      <x:c r="I39" s="23" t="n">
        <x:v>69</x:v>
      </x:c>
      <x:c r="J39" s="23" t="n">
        <x:v>85</x:v>
      </x:c>
      <x:c r="K39" s="20" t="str">
        <x:v>A</x:v>
      </x:c>
      <x:c r="L39" s="23" t="n">
        <x:v>25</x:v>
      </x:c>
      <x:c r="M39" s="20" t="str">
        <x:v>开门或晚间低峰</x:v>
      </x:c>
      <x:c r="N39" s="20" t="str">
        <x:v>新华路/上新街</x:v>
      </x:c>
      <x:c r="O39" s="20" t="str">
        <x:v>取号排队、停运、证件规则</x:v>
      </x:c>
      <x:c r="P39" s="20" t="str">
        <x:v>雨天视风力</x:v>
      </x:c>
      <x:c r="Q39" s="20" t="str">
        <x:v>月度维护、排队常态</x:v>
      </x:c>
      <x:c r="R39" s="20" t="str">
        <x:v>索道曾是公共交通；今天的体验价值取决于排队成本</x:v>
      </x:c>
      <x:c r="S39" s="20" t="str">
        <x:v>设30分钟阈值，超过就改东水门桥/轨道</x:v>
      </x:c>
      <x:c r="T39" s="20" t="str">
        <x:v>https://www.cqsuodao.com/zhangjiangsuodao.html</x:v>
      </x:c>
      <x:c r="U39" s="20" t="str">
        <x:v>https://cq.gov.cn/ywdt/bmts/202505/t20250529_14669045.html</x:v>
      </x:c>
      <x:c r="V39" s="20" t="str">
        <x:v>2026-07-28</x:v>
      </x:c>
      <x:c r="W39" s="20" t="str">
        <x:v>引流钩子</x:v>
      </x:c>
      <x:c r="X39" s="23" t="n">
        <x:v>5</x:v>
      </x:c>
      <x:c r="Y39" s="23" t="n">
        <x:v>4</x:v>
      </x:c>
      <x:c r="Z39" s="23" t="n">
        <x:v>4</x:v>
      </x:c>
      <x:c r="AA39" s="20" t="str">
        <x:v>B 按兴趣</x:v>
      </x:c>
      <x:c r="AB39" s="20" t="str">
        <x:v>夜景/观景</x:v>
      </x:c>
      <x:c r="AC39" s="20" t="str">
        <x:v>赛博摄影|亲子轻松|首次经典</x:v>
      </x:c>
      <x:c r="AD39" s="20" t="str">
        <x:v>标准|深度</x:v>
      </x:c>
      <x:c r="AE39" s="20" t="str">
        <x:v>排队低于阈值才使用</x:v>
      </x:c>
      <x:c r="AF39" s="20" t="str">
        <x:v>排队低于阈值才使用。索道曾是公共交通；今天的体验价值取决于排队成本</x:v>
      </x:c>
      <x:c r="AG39" s="20" t="str">
        <x:v>月度维护、排队常态</x:v>
      </x:c>
      <x:c r="AH39" s="23" t="n">
        <x:f>ROUND(I39*'参数字典'!$B$16+J39*'参数字典'!$B$17+X39*20*'参数字典'!$B$18+Y39*20*'参数字典'!$B$19+Z39*20*'参数字典'!$B$20,0)</x:f>
        <x:v>83</x:v>
      </x:c>
    </x:row>
    <x:row r="40" ht="56" customHeight="1">
      <x:c r="A40" s="20" t="str">
        <x:v>CQ035</x:v>
      </x:c>
      <x:c r="B40" s="20" t="str">
        <x:v>重庆两江游</x:v>
      </x:c>
      <x:c r="C40" s="20" t="str">
        <x:v>渝中码头</x:v>
      </x:c>
      <x:c r="D40" s="20" t="str">
        <x:v>可选夜游</x:v>
      </x:c>
      <x:c r="E40" s="20" t="str">
        <x:v>游船夜景</x:v>
      </x:c>
      <x:c r="F40" s="20" t="str">
        <x:v>不进默认</x:v>
      </x:c>
      <x:c r="G40" s="20" t="str">
        <x:v>低体力夜景替代</x:v>
      </x:c>
      <x:c r="H40" s="20" t="str">
        <x:v>低体力/亲子/团队</x:v>
      </x:c>
      <x:c r="I40" s="23" t="n">
        <x:v>57</x:v>
      </x:c>
      <x:c r="J40" s="23" t="n">
        <x:v>80</x:v>
      </x:c>
      <x:c r="K40" s="20" t="str">
        <x:v>B</x:v>
      </x:c>
      <x:c r="L40" s="23" t="n">
        <x:v>75</x:v>
      </x:c>
      <x:c r="M40" s="20" t="str">
        <x:v>夜间</x:v>
      </x:c>
      <x:c r="N40" s="20" t="str">
        <x:v>朝天门片区码头</x:v>
      </x:c>
      <x:c r="O40" s="20" t="str">
        <x:v>码头、船型和票种混淆</x:v>
      </x:c>
      <x:c r="P40" s="20" t="str">
        <x:v>雨天视船方</x:v>
      </x:c>
      <x:c r="Q40" s="20" t="str">
        <x:v>营销票种、能见度、拥挤</x:v>
      </x:c>
      <x:c r="R40" s="20" t="str">
        <x:v>不是“必去”；其价值是低体力连续看两岸，不是文化深度</x:v>
      </x:c>
      <x:c r="S40" s="20" t="str">
        <x:v>比较步行夜景与船上视角的取舍</x:v>
      </x:c>
      <x:c r="T40" s="20" t="str">
        <x:v>https://cq.gov.cn/zwgk/zfxxgkml/zdlyxxgk/ggwh/ly/zxdt/202603/t20260304_15487802.html</x:v>
      </x:c>
      <x:c r="U40" s="20" t="str">
        <x:v>https://www.cq.gov.cn/ywdt/jrcq/202605/t20260531_15716501_app.html</x:v>
      </x:c>
      <x:c r="V40" s="20" t="str">
        <x:v>2026-07-28</x:v>
      </x:c>
      <x:c r="W40" s="20" t="str">
        <x:v>引流钩子/付费体验</x:v>
      </x:c>
      <x:c r="X40" s="23" t="n">
        <x:v>5</x:v>
      </x:c>
      <x:c r="Y40" s="23" t="n">
        <x:v>4</x:v>
      </x:c>
      <x:c r="Z40" s="23" t="n">
        <x:v>4</x:v>
      </x:c>
      <x:c r="AA40" s="20" t="str">
        <x:v>X 默认不输出</x:v>
      </x:c>
      <x:c r="AB40" s="20" t="str">
        <x:v>夜景/观景</x:v>
      </x:c>
      <x:c r="AC40" s="20" t="str">
        <x:v>赛博摄影|亲子轻松|首次经典</x:v>
      </x:c>
      <x:c r="AD40" s="20" t="str">
        <x:v>仅定向</x:v>
      </x:c>
      <x:c r="AE40" s="20" t="str">
        <x:v>低体力夜景替代</x:v>
      </x:c>
      <x:c r="AF40" s="20" t="str">
        <x:v>低体力夜景替代。不是“必去”；其价值是低体力连续看两岸，不是文化深度</x:v>
      </x:c>
      <x:c r="AG40" s="20" t="str">
        <x:v>只有低体力或团队夜景需求时使用</x:v>
      </x:c>
      <x:c r="AH40" s="23" t="n">
        <x:f>ROUND(I40*'参数字典'!$B$16+J40*'参数字典'!$B$17+X40*20*'参数字典'!$B$18+Y40*20*'参数字典'!$B$19+Z40*20*'参数字典'!$B$20,0)</x:f>
        <x:v>79</x:v>
      </x:c>
    </x:row>
    <x:row r="41" ht="56" customHeight="1">
      <x:c r="A41" s="20" t="str">
        <x:v>CQ036</x:v>
      </x:c>
      <x:c r="B41" s="20" t="str">
        <x:v>磁器口古镇</x:v>
      </x:c>
      <x:c r="C41" s="20" t="str">
        <x:v>沙坪坝</x:v>
      </x:c>
      <x:c r="D41" s="20" t="str">
        <x:v>可选街区</x:v>
      </x:c>
      <x:c r="E41" s="20" t="str">
        <x:v>古镇/商业</x:v>
      </x:c>
      <x:c r="F41" s="20" t="str">
        <x:v>不进默认</x:v>
      </x:c>
      <x:c r="G41" s="20" t="str">
        <x:v>早晨定向非遗或亲子模块</x:v>
      </x:c>
      <x:c r="H41" s="20" t="str">
        <x:v>亲子/首次来渝/购物</x:v>
      </x:c>
      <x:c r="I41" s="23" t="n">
        <x:v>72</x:v>
      </x:c>
      <x:c r="J41" s="23" t="n">
        <x:v>81</x:v>
      </x:c>
      <x:c r="K41" s="20" t="str">
        <x:v>B</x:v>
      </x:c>
      <x:c r="L41" s="23" t="n">
        <x:v>90</x:v>
      </x:c>
      <x:c r="M41" s="20" t="str">
        <x:v>开门后1小时内</x:v>
      </x:c>
      <x:c r="N41" s="20" t="str">
        <x:v>磁器口站</x:v>
      </x:c>
      <x:c r="O41" s="20" t="str">
        <x:v>主街英语尚可；深层内容需讲解</x:v>
      </x:c>
      <x:c r="P41" s="20" t="str">
        <x:v>雨天可</x:v>
      </x:c>
      <x:c r="Q41" s="20" t="str">
        <x:v>节假日极拥挤、主街同质</x:v>
      </x:c>
      <x:c r="R41" s="20" t="str">
        <x:v>文化价值存在，但默认4天跨区成本过高；只做定向主题</x:v>
      </x:c>
      <x:c r="S41" s="20" t="str">
        <x:v>避开主街消费动线，确认可体验的非遗点</x:v>
      </x:c>
      <x:c r="T41" s="20" t="str">
        <x:v>https://ghzrzyj.cq.gov.cn/bsfw_186/dtfw/mzyt/202511/t20251124_15184222_wap.html</x:v>
      </x:c>
      <x:c r="U41" s="20" t="str">
        <x:v>https://www.reddit.com/r/travelchina/comments/1v4olqp/thoughts_on_my_chongqing_itinerary/</x:v>
      </x:c>
      <x:c r="V41" s="20" t="str">
        <x:v>2026-07-28</x:v>
      </x:c>
      <x:c r="W41" s="20" t="str">
        <x:v>真实生活</x:v>
      </x:c>
      <x:c r="X41" s="23" t="n">
        <x:v>3</x:v>
      </x:c>
      <x:c r="Y41" s="23" t="n">
        <x:v>2</x:v>
      </x:c>
      <x:c r="Z41" s="23" t="n">
        <x:v>2</x:v>
      </x:c>
      <x:c r="AA41" s="20" t="str">
        <x:v>X 默认不输出</x:v>
      </x:c>
      <x:c r="AB41" s="20" t="str">
        <x:v>更新街区/老街</x:v>
      </x:c>
      <x:c r="AC41" s="20" t="str">
        <x:v>美食生活|亲子轻松|复游客|首次经典</x:v>
      </x:c>
      <x:c r="AD41" s="20" t="str">
        <x:v>仅定向</x:v>
      </x:c>
      <x:c r="AE41" s="20" t="str">
        <x:v>早晨定向非遗或亲子模块</x:v>
      </x:c>
      <x:c r="AF41" s="20" t="str">
        <x:v>早晨定向非遗或亲子模块。文化价值存在，但默认4天跨区成本过高；只做定向主题</x:v>
      </x:c>
      <x:c r="AG41" s="20" t="str">
        <x:v>与其他商业街重复时优先删除</x:v>
      </x:c>
      <x:c r="AH41" s="23" t="n">
        <x:f>ROUND(I41*'参数字典'!$B$16+J41*'参数字典'!$B$17+X41*20*'参数字典'!$B$18+Y41*20*'参数字典'!$B$19+Z41*20*'参数字典'!$B$20,0)</x:f>
        <x:v>57</x:v>
      </x:c>
    </x:row>
    <x:row r="42" ht="56" customHeight="1">
      <x:c r="A42" s="20" t="str">
        <x:v>CQ037</x:v>
      </x:c>
      <x:c r="B42" s="20" t="str">
        <x:v>观音桥夜间消费区</x:v>
      </x:c>
      <x:c r="C42" s="20" t="str">
        <x:v>江北</x:v>
      </x:c>
      <x:c r="D42" s="20" t="str">
        <x:v>可选夜生活</x:v>
      </x:c>
      <x:c r="E42" s="20" t="str">
        <x:v>本地商业/夜生活</x:v>
      </x:c>
      <x:c r="F42" s="20" t="str">
        <x:v>条件推荐</x:v>
      </x:c>
      <x:c r="G42" s="20" t="str">
        <x:v>观察本地年轻消费而非历史</x:v>
      </x:c>
      <x:c r="H42" s="20" t="str">
        <x:v>年轻游客/夜生活/食物</x:v>
      </x:c>
      <x:c r="I42" s="23" t="n">
        <x:v>64</x:v>
      </x:c>
      <x:c r="J42" s="23" t="n">
        <x:v>68</x:v>
      </x:c>
      <x:c r="K42" s="20" t="str">
        <x:v>C</x:v>
      </x:c>
      <x:c r="L42" s="23" t="n">
        <x:v>120</x:v>
      </x:c>
      <x:c r="M42" s="20" t="str">
        <x:v>晚餐后</x:v>
      </x:c>
      <x:c r="N42" s="20" t="str">
        <x:v>观音桥站</x:v>
      </x:c>
      <x:c r="O42" s="20" t="str">
        <x:v>晚间英语不稳定</x:v>
      </x:c>
      <x:c r="P42" s="20" t="str">
        <x:v>雨天转商场</x:v>
      </x:c>
      <x:c r="Q42" s="20" t="str">
        <x:v>拥挤、噪音、晚归</x:v>
      </x:c>
      <x:c r="R42" s="20" t="str">
        <x:v>作为“游客中心之外的当代重庆”，不伪装成深历史</x:v>
      </x:c>
      <x:c r="S42" s="20" t="str">
        <x:v>观察商圈、夜市、办公与居住人流混合</x:v>
      </x:c>
      <x:c r="T42" s="20" t="str">
        <x:v>https://www.reddit.com/r/travelchina/comments/1o74mfa/trip_report_for_chongqing_4_night_stay/</x:v>
      </x:c>
      <x:c r="U42" s="20" t="str">
        <x:v>https://www.cqyz.gov.cn/bm_229/qwhlyw/zwxx_97154/dt/202606/t20260605_15733979.html</x:v>
      </x:c>
      <x:c r="V42" s="20" t="str">
        <x:v>2026-07-28</x:v>
      </x:c>
      <x:c r="W42" s="20" t="str">
        <x:v>真实生活</x:v>
      </x:c>
      <x:c r="X42" s="23" t="n">
        <x:v>3</x:v>
      </x:c>
      <x:c r="Y42" s="23" t="n">
        <x:v>4</x:v>
      </x:c>
      <x:c r="Z42" s="23" t="n">
        <x:v>4</x:v>
      </x:c>
      <x:c r="AA42" s="20" t="str">
        <x:v>C 深度补充</x:v>
      </x:c>
      <x:c r="AB42" s="20" t="str">
        <x:v>社区/生活</x:v>
      </x:c>
      <x:c r="AC42" s="20" t="str">
        <x:v>文化历史|美食生活|复游客|首次经典</x:v>
      </x:c>
      <x:c r="AD42" s="20" t="str">
        <x:v>深度</x:v>
      </x:c>
      <x:c r="AE42" s="20" t="str">
        <x:v>观察本地年轻消费而非历史</x:v>
      </x:c>
      <x:c r="AF42" s="20" t="str">
        <x:v>观察本地年轻消费而非历史。作为“游客中心之外的当代重庆”，不伪装成深历史</x:v>
      </x:c>
      <x:c r="AG42" s="20" t="str">
        <x:v>拥挤、噪音、晚归</x:v>
      </x:c>
      <x:c r="AH42" s="23" t="n">
        <x:f>ROUND(I42*'参数字典'!$B$16+J42*'参数字典'!$B$17+X42*20*'参数字典'!$B$18+Y42*20*'参数字典'!$B$19+Z42*20*'参数字典'!$B$20,0)</x:f>
        <x:v>71</x:v>
      </x:c>
    </x:row>
    <x:row r="43" ht="56" customHeight="1">
      <x:c r="A43" s="20" t="str">
        <x:v>CQ038</x:v>
      </x:c>
      <x:c r="B43" s="20" t="str">
        <x:v>社区型重庆火锅体验</x:v>
      </x:c>
      <x:c r="C43" s="20" t="str">
        <x:v>主城多区</x:v>
      </x:c>
      <x:c r="D43" s="20" t="str">
        <x:v>食物体验</x:v>
      </x:c>
      <x:c r="E43" s="20" t="str">
        <x:v>饮食/社交</x:v>
      </x:c>
      <x:c r="F43" s="20" t="str">
        <x:v>必去核心</x:v>
      </x:c>
      <x:c r="G43" s="20" t="str">
        <x:v>从餐厅推荐升级为点菜与文化解释</x:v>
      </x:c>
      <x:c r="H43" s="20" t="str">
        <x:v>全部客群/小团</x:v>
      </x:c>
      <x:c r="I43" s="23" t="n">
        <x:v>82</x:v>
      </x:c>
      <x:c r="J43" s="23" t="n">
        <x:v>85</x:v>
      </x:c>
      <x:c r="K43" s="20" t="str">
        <x:v>A</x:v>
      </x:c>
      <x:c r="L43" s="23" t="n">
        <x:v>150</x:v>
      </x:c>
      <x:c r="M43" s="20" t="str">
        <x:v>晚餐</x:v>
      </x:c>
      <x:c r="N43" s="20" t="str">
        <x:v>步行优先</x:v>
      </x:c>
      <x:c r="O43" s="20" t="str">
        <x:v>辣度、内脏、过敏、素食、英语</x:v>
      </x:c>
      <x:c r="P43" s="20" t="str">
        <x:v>雨天核心</x:v>
      </x:c>
      <x:c r="Q43" s="20" t="str">
        <x:v>食品安全、责任、取消</x:v>
      </x:c>
      <x:c r="R43" s="20" t="str">
        <x:v>火锅是共享秩序：锅底、油碟、下菜顺序、共同用餐与地方身份</x:v>
      </x:c>
      <x:c r="S43" s="20" t="str">
        <x:v>让游客完成一次点菜而不是只吃套餐</x:v>
      </x:c>
      <x:c r="T43" s="20" t="str">
        <x:v>https://whlyw.cq.gov.cn/zjwl/szq/zqms/202411/t20241111_13787035.html</x:v>
      </x:c>
      <x:c r="U43" s="20" t="str">
        <x:v>https://whlyw.cq.gov.cn/zwgk_221/zfgkzcwj/qtwj/202607/t20260709_15810099.html</x:v>
      </x:c>
      <x:c r="V43" s="20" t="str">
        <x:v>2026-07-28</x:v>
      </x:c>
      <x:c r="W43" s="20" t="str">
        <x:v>付费体验</x:v>
      </x:c>
      <x:c r="X43" s="23" t="n">
        <x:v>4</x:v>
      </x:c>
      <x:c r="Y43" s="23" t="n">
        <x:v>5</x:v>
      </x:c>
      <x:c r="Z43" s="23" t="n">
        <x:v>5</x:v>
      </x:c>
      <x:c r="AA43" s="20" t="str">
        <x:v>A 必须</x:v>
      </x:c>
      <x:c r="AB43" s="20" t="str">
        <x:v>食物体验</x:v>
      </x:c>
      <x:c r="AC43" s="20" t="str">
        <x:v>美食生活|首次经典</x:v>
      </x:c>
      <x:c r="AD43" s="20" t="str">
        <x:v>精简|标准|深度</x:v>
      </x:c>
      <x:c r="AE43" s="20" t="str">
        <x:v>从餐厅推荐升级为点菜与文化解释</x:v>
      </x:c>
      <x:c r="AF43" s="20" t="str">
        <x:v>从餐厅推荐升级为点菜与文化解释。火锅是共享秩序：锅底、油碟、下菜顺序、共同用餐与地方身份</x:v>
      </x:c>
      <x:c r="AG43" s="20" t="str">
        <x:v>无双语点菜、辣度、过敏和取消规则不得收费</x:v>
      </x:c>
      <x:c r="AH43" s="23" t="n">
        <x:f>ROUND(I43*'参数字典'!$B$16+J43*'参数字典'!$B$17+X43*20*'参数字典'!$B$18+Y43*20*'参数字典'!$B$19+Z43*20*'参数字典'!$B$20,0)</x:f>
        <x:v>90</x:v>
      </x:c>
    </x:row>
    <x:row r="44" ht="56" customHeight="1">
      <x:c r="A44" s="20" t="str">
        <x:v>CQ039</x:v>
      </x:c>
      <x:c r="B44" s="20" t="str">
        <x:v>重庆小面早餐</x:v>
      </x:c>
      <x:c r="C44" s="20" t="str">
        <x:v>主城多区</x:v>
      </x:c>
      <x:c r="D44" s="20" t="str">
        <x:v>食物体验</x:v>
      </x:c>
      <x:c r="E44" s="20" t="str">
        <x:v>早餐/日常</x:v>
      </x:c>
      <x:c r="F44" s="20" t="str">
        <x:v>深度推荐</x:v>
      </x:c>
      <x:c r="G44" s="20" t="str">
        <x:v>低成本进入本地日常</x:v>
      </x:c>
      <x:c r="H44" s="20" t="str">
        <x:v>全部客群/背包客</x:v>
      </x:c>
      <x:c r="I44" s="23" t="n">
        <x:v>76</x:v>
      </x:c>
      <x:c r="J44" s="23" t="n">
        <x:v>68</x:v>
      </x:c>
      <x:c r="K44" s="20" t="str">
        <x:v>C</x:v>
      </x:c>
      <x:c r="L44" s="23" t="n">
        <x:v>40</x:v>
      </x:c>
      <x:c r="M44" s="20" t="str">
        <x:v>07:30—09:30</x:v>
      </x:c>
      <x:c r="N44" s="20" t="str">
        <x:v>住宿地步行</x:v>
      </x:c>
      <x:c r="O44" s="20" t="str">
        <x:v>菜单、辣度、调料和座位规则</x:v>
      </x:c>
      <x:c r="P44" s="20" t="str">
        <x:v>雨天核心</x:v>
      </x:c>
      <x:c r="Q44" s="20" t="str">
        <x:v>卫生差异、现金/扫码</x:v>
      </x:c>
      <x:c r="R44" s="20" t="str">
        <x:v>不要追“网红第一名”；讲二两三两、干溜汤面与调料自定义</x:v>
      </x:c>
      <x:c r="S44" s="20" t="str">
        <x:v>用中文点菜卡完成独立下单</x:v>
      </x:c>
      <x:c r="T44" s="20" t="str">
        <x:v>https://whlyw.cq.gov.cn/zwgk_221/zfgkzcwj/qtwj/202607/t20260709_15810099.html</x:v>
      </x:c>
      <x:c r="U44" s="20" t="str">
        <x:v>https://www.reddit.com/r/travelchina/comments/1o74mfa/trip_report_for_chongqing_4_night_stay/</x:v>
      </x:c>
      <x:c r="V44" s="20" t="str">
        <x:v>2026-07-28</x:v>
      </x:c>
      <x:c r="W44" s="20" t="str">
        <x:v>真实生活</x:v>
      </x:c>
      <x:c r="X44" s="23" t="n">
        <x:v>3</x:v>
      </x:c>
      <x:c r="Y44" s="23" t="n">
        <x:v>5</x:v>
      </x:c>
      <x:c r="Z44" s="23" t="n">
        <x:v>4</x:v>
      </x:c>
      <x:c r="AA44" s="20" t="str">
        <x:v>B 按兴趣</x:v>
      </x:c>
      <x:c r="AB44" s="20" t="str">
        <x:v>食物体验</x:v>
      </x:c>
      <x:c r="AC44" s="20" t="str">
        <x:v>美食生活|复游客|首次经典</x:v>
      </x:c>
      <x:c r="AD44" s="20" t="str">
        <x:v>标准|深度</x:v>
      </x:c>
      <x:c r="AE44" s="20" t="str">
        <x:v>低成本进入本地日常</x:v>
      </x:c>
      <x:c r="AF44" s="20" t="str">
        <x:v>低成本进入本地日常。不要追“网红第一名”；讲二两三两、干溜汤面与调料自定义</x:v>
      </x:c>
      <x:c r="AG44" s="20" t="str">
        <x:v>卫生差异、现金/扫码</x:v>
      </x:c>
      <x:c r="AH44" s="23" t="n">
        <x:f>ROUND(I44*'参数字典'!$B$16+J44*'参数字典'!$B$17+X44*20*'参数字典'!$B$18+Y44*20*'参数字典'!$B$19+Z44*20*'参数字典'!$B$20,0)</x:f>
        <x:v>79</x:v>
      </x:c>
    </x:row>
    <x:row r="45" ht="56" customHeight="1">
      <x:c r="A45" s="21" t="str">
        <x:v>CQ040</x:v>
      </x:c>
      <x:c r="B45" s="21" t="str">
        <x:v>川剧/地方表演体验</x:v>
      </x:c>
      <x:c r="C45" s="21" t="str">
        <x:v>主城</x:v>
      </x:c>
      <x:c r="D45" s="21" t="str">
        <x:v>夜间/雨天</x:v>
      </x:c>
      <x:c r="E45" s="21" t="str">
        <x:v>表演/非遗</x:v>
      </x:c>
      <x:c r="F45" s="21" t="str">
        <x:v>条件推荐</x:v>
      </x:c>
      <x:c r="G45" s="21" t="str">
        <x:v>需要英文解释与互动才能卖高价</x:v>
      </x:c>
      <x:c r="H45" s="21" t="str">
        <x:v>亲子/文化/小团</x:v>
      </x:c>
      <x:c r="I45" s="24" t="n">
        <x:v>75</x:v>
      </x:c>
      <x:c r="J45" s="24" t="n">
        <x:v>80</x:v>
      </x:c>
      <x:c r="K45" s="21" t="str">
        <x:v>B</x:v>
      </x:c>
      <x:c r="L45" s="24" t="n">
        <x:v>90</x:v>
      </x:c>
      <x:c r="M45" s="21" t="str">
        <x:v>按演出</x:v>
      </x:c>
      <x:c r="N45" s="21" t="str">
        <x:v>轨道+短程车</x:v>
      </x:c>
      <x:c r="O45" s="21" t="str">
        <x:v>演出质量、英文、座位、拍摄规则</x:v>
      </x:c>
      <x:c r="P45" s="21" t="str">
        <x:v>雨天核心</x:v>
      </x:c>
      <x:c r="Q45" s="21" t="str">
        <x:v>变脸拼盘化、退改</x:v>
      </x:c>
      <x:c r="R45" s="21" t="str">
        <x:v>从“变脸奇观”升级到唱腔、锣鼓、角色和后台互动</x:v>
      </x:c>
      <x:c r="S45" s="21" t="str">
        <x:v>至少有演前导读或演后交流，否则不进深度产品</x:v>
      </x:c>
      <x:c r="T45" s="21" t="str">
        <x:v>https://whlyw.cq.gov.cn/hdjl_221/xzzq/202601/t20260115_15320860.html</x:v>
      </x:c>
      <x:c r="U45" s="21" t="str">
        <x:v>https://whlyw.cq.gov.cn/zwgk_221/zfgkzcwj/qtwj/202607/t20260709_15810099.html</x:v>
      </x:c>
      <x:c r="V45" s="21" t="str">
        <x:v>2026-07-28</x:v>
      </x:c>
      <x:c r="W45" s="21" t="str">
        <x:v>付费体验</x:v>
      </x:c>
      <x:c r="X45" s="24" t="n">
        <x:v>3</x:v>
      </x:c>
      <x:c r="Y45" s="24" t="n">
        <x:v>4</x:v>
      </x:c>
      <x:c r="Z45" s="24" t="n">
        <x:v>5</x:v>
      </x:c>
      <x:c r="AA45" s="21" t="str">
        <x:v>B 按兴趣</x:v>
      </x:c>
      <x:c r="AB45" s="21" t="str">
        <x:v>独立主题</x:v>
      </x:c>
      <x:c r="AC45" s="21" t="str">
        <x:v>亲子轻松|首次经典</x:v>
      </x:c>
      <x:c r="AD45" s="21" t="str">
        <x:v>标准|深度</x:v>
      </x:c>
      <x:c r="AE45" s="21" t="str">
        <x:v>需要英文解释与互动才能卖高价</x:v>
      </x:c>
      <x:c r="AF45" s="21" t="str">
        <x:v>需要英文解释与互动才能卖高价。从“变脸奇观”升级到唱腔、锣鼓、角色和后台互动</x:v>
      </x:c>
      <x:c r="AG45" s="21" t="str">
        <x:v>无英文解释或互动环节不得作为深度产品</x:v>
      </x:c>
      <x:c r="AH45" s="24" t="n">
        <x:f>ROUND(I45*'参数字典'!$B$16+J45*'参数字典'!$B$17+X45*20*'参数字典'!$B$18+Y45*20*'参数字典'!$B$19+Z45*20*'参数字典'!$B$20,0)</x:f>
        <x:v>78</x:v>
      </x:c>
    </x:row>
  </x:sheetData>
  <x:mergeCells>
    <x:mergeCell ref="A1:AH1"/>
    <x:mergeCell ref="A2:AH2"/>
  </x:mergeCells>
  <x:conditionalFormatting sqref="X6:Z45">
    <x:cfRule type="colorScale" priority="1">
      <x:colorScale>
        <x:cfvo type="min"/>
        <x:cfvo type="percentile" val="50"/>
        <x:cfvo type="max"/>
        <x:color rgb="FFFBE5E5"/>
        <x:color rgb="FFFFF1D6"/>
        <x:color rgb="FFE3F1EA"/>
      </x:colorScale>
    </x:cfRule>
  </x:conditionalFormatting>
  <x:conditionalFormatting sqref="AH6:AH45">
    <x:cfRule type="dataBar" priority="2">
      <x:dataBar>
        <x:cfvo type="min"/>
        <x:cfvo type="max"/>
        <x:color rgb="FF2E7D72"/>
      </x:dataBar>
      <x:extLst>
        <x:ext xmlns:x14="http://schemas.microsoft.com/office/spreadsheetml/2009/9/main" uri="{B025F937-C7B1-47D3-B67F-A62EFF666E3E}">
          <x14:id>{24172C27-D01B-9985-CFB3-9EBD4182D9C1}</x14:id>
        </x:ext>
      </x:extLst>
    </x:cfRule>
  </x:conditionalFormatting>
  <x:dataValidations count="1">
    <x:dataValidation type="list" sqref="AA6:AA45">
      <x:formula1>"A 必须,B 按兴趣,C 深度补充,X 默认不输出"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5b6c1493e3471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24172C27-D01B-9985-CFB3-9EBD4182D9C1}">
            <x14:dataBar gradient="1">
              <x14:cfvo type="min"/>
              <x14:cfvo type="max"/>
              <x14:fillColor rgb="FF2E7D72"/>
            </x14:dataBar>
          </x14:cfRule>
          <xm:sqref>AH6:AH45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25" hidden="0" customWidth="1"/>
    <x:col min="4" max="4" width="31" hidden="0" customWidth="1"/>
    <x:col min="5" max="5" width="39" hidden="0" customWidth="1"/>
    <x:col min="6" max="6" width="34" hidden="0" customWidth="1"/>
    <x:col min="7" max="7" width="32" hidden="0" customWidth="1"/>
    <x:col min="8" max="8" width="13" hidden="0" customWidth="1"/>
    <x:col min="9" max="9" width="32" hidden="0" customWidth="1"/>
    <x:col min="10" max="10" width="32" hidden="0" customWidth="1"/>
    <x:col min="11" max="11" width="29" hidden="0" customWidth="1"/>
    <x:col min="12" max="12" width="16" hidden="0" customWidth="1"/>
    <x:col min="13" max="13" width="30" hidden="0" customWidth="1"/>
    <x:col min="14" max="14" width="20" hidden="0" customWidth="1"/>
    <x:col min="15" max="15" width="28" hidden="0" customWidth="1"/>
  </x:cols>
  <x:sheetData>
    <x:row r="1" ht="32" customHeight="1">
      <x:c r="A1" s="3" t="str">
        <x:v>讲解素材库｜事实、解释、边界和问题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0" customHeight="1">
      <x:c r="A2" s="7" t="str">
        <x:v>素材库保存比游客最终看到更多的内容。输出时只取与所选模块和客群匹配的一张讲解卡。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5" ht="34" customHeight="1">
      <x:c r="A5" s="11" t="str">
        <x:v>卡ID</x:v>
      </x:c>
      <x:c r="B5" s="11" t="str">
        <x:v>主题</x:v>
      </x:c>
      <x:c r="C5" s="11" t="str">
        <x:v>适用节点</x:v>
      </x:c>
      <x:c r="D5" s="11" t="str">
        <x:v>现场切入</x:v>
      </x:c>
      <x:c r="E5" s="11" t="str">
        <x:v>深层解释</x:v>
      </x:c>
      <x:c r="F5" s="11" t="str">
        <x:v>不要这样说</x:v>
      </x:c>
      <x:c r="G5" s="11" t="str">
        <x:v>给游客的问题</x:v>
      </x:c>
      <x:c r="H5" s="11" t="str">
        <x:v>证据状态</x:v>
      </x:c>
      <x:c r="I5" s="11" t="str">
        <x:v>来源URL1</x:v>
      </x:c>
      <x:c r="J5" s="11" t="str">
        <x:v>来源URL2</x:v>
      </x:c>
      <x:c r="K5" s="11" t="str">
        <x:v>下一步</x:v>
      </x:c>
      <x:c r="L5" s="11" t="str">
        <x:v>内容角色</x:v>
      </x:c>
      <x:c r="M5" s="11" t="str">
        <x:v>适合客群</x:v>
      </x:c>
      <x:c r="N5" s="11" t="str">
        <x:v>适合长度</x:v>
      </x:c>
      <x:c r="O5" s="11" t="str">
        <x:v>使用条件</x:v>
      </x:c>
    </x:row>
    <x:row r="6" ht="68" customHeight="1">
      <x:c r="A6" s="19" t="str">
        <x:v>ST01</x:v>
      </x:c>
      <x:c r="B6" s="19" t="str">
        <x:v>重庆为什么“地面不止一层”</x:v>
      </x:c>
      <x:c r="C6" s="19" t="str">
        <x:v>魁星楼、朝天门、洪崖洞、山城步道</x:v>
      </x:c>
      <x:c r="D6" s="19" t="str">
        <x:v>先让游客描述自己所在的“地面”与楼层</x:v>
      </x:c>
      <x:c r="E6" s="19" t="str">
        <x:v>地形不是高楼的背景，而是塑造道路、入口、治理和日常经验的主动因素</x:v>
      </x:c>
      <x:c r="F6" s="19" t="str">
        <x:v>重庆是8D魔幻城市，所以哪里都没有一楼</x:v>
      </x:c>
      <x:c r="G6" s="19" t="str">
        <x:v>如果导航只给平面距离，它漏掉了什么？</x:v>
      </x:c>
      <x:c r="H6" s="19" t="str">
        <x:v>S2+S3</x:v>
      </x:c>
      <x:c r="I6" s="19" t="str">
        <x:v>https://doi.org/10.17645/up.v7i4.5810</x:v>
      </x:c>
      <x:c r="J6" s="19" t="str">
        <x:v>https://www.reddit.com/r/travelchina/comments/1t4cdvm/help_planning_chongqing/</x:v>
      </x:c>
      <x:c r="K6" s="19" t="str">
        <x:v>做一张入口层级图</x:v>
      </x:c>
      <x:c r="L6" s="19" t="str">
        <x:v>核心解释</x:v>
      </x:c>
      <x:c r="M6" s="19" t="str">
        <x:v>首次经典|赛博摄影</x:v>
      </x:c>
      <x:c r="N6" s="19" t="str">
        <x:v>精简|标准|深度</x:v>
      </x:c>
      <x:c r="O6" s="19" t="str">
        <x:v>解释多重地面</x:v>
      </x:c>
    </x:row>
    <x:row r="7" ht="68" customHeight="1">
      <x:c r="A7" s="20" t="str">
        <x:v>ST02</x:v>
      </x:c>
      <x:c r="B7" s="20" t="str">
        <x:v>奇观与日常的冲突</x:v>
      </x:c>
      <x:c r="C7" s="20" t="str">
        <x:v>洪崖洞、白象居、李子坝</x:v>
      </x:c>
      <x:c r="D7" s="20" t="str">
        <x:v>比较游客拍摄动作与居民通行</x:v>
      </x:c>
      <x:c r="E7" s="20" t="str">
        <x:v>外来者看到“赛博朋克”，居民面对的是通勤、消防、噪音和公共/私人边界</x:v>
      </x:c>
      <x:c r="F7" s="20" t="str">
        <x:v>这里像电影，所以居民也欢迎游客随便拍</x:v>
      </x:c>
      <x:c r="G7" s="20" t="str">
        <x:v>什么时候一个城市空间从公共场所变成别人的生活空间？</x:v>
      </x:c>
      <x:c r="H7" s="20" t="str">
        <x:v>S2</x:v>
      </x:c>
      <x:c r="I7" s="20" t="str">
        <x:v>https://eprints.whiterose.ac.uk/id/eprint/185301/</x:v>
      </x:c>
      <x:c r="J7" s="20" t="str">
        <x:v>https://www.cq.gov.cn/ywdt/jrcq/202606/t20260613_15751500.html</x:v>
      </x:c>
      <x:c r="K7" s="20" t="str">
        <x:v>制定拍摄伦理卡</x:v>
      </x:c>
      <x:c r="L7" s="20" t="str">
        <x:v>真实生活</x:v>
      </x:c>
      <x:c r="M7" s="20" t="str">
        <x:v>首次经典|美食生活|复游客</x:v>
      </x:c>
      <x:c r="N7" s="20" t="str">
        <x:v>标准|深度</x:v>
      </x:c>
      <x:c r="O7" s="20" t="str">
        <x:v>讨论游客与居民边界</x:v>
      </x:c>
    </x:row>
    <x:row r="8" ht="68" customHeight="1">
      <x:c r="A8" s="20" t="str">
        <x:v>ST03</x:v>
      </x:c>
      <x:c r="B8" s="20" t="str">
        <x:v>朝天门为什么是重庆的门</x:v>
      </x:c>
      <x:c r="C8" s="20" t="str">
        <x:v>朝天门江岸</x:v>
      </x:c>
      <x:c r="D8" s="20" t="str">
        <x:v>观察两江交汇、半岛尖端与历史码头方向</x:v>
      </x:c>
      <x:c r="E8" s="20" t="str">
        <x:v>城门、码头、航运和当代交通共同定义重庆的门户性</x:v>
      </x:c>
      <x:c r="F8" s="20" t="str">
        <x:v>来福士就是朝天门</x:v>
      </x:c>
      <x:c r="G8" s="20" t="str">
        <x:v>如果没有长江航运，重庆会怎样生长？</x:v>
      </x:c>
      <x:c r="H8" s="20" t="str">
        <x:v>S1</x:v>
      </x:c>
      <x:c r="I8" s="20" t="str">
        <x:v>https://www.cq.gov.cn/zwgk/zfxxgkml/zdlyxxgk/ggwh/ly/zxdt/202511/t20251107_15146900.html</x:v>
      </x:c>
      <x:c r="J8" s="20" t="str">
        <x:v>https://www.cq.gov.cn/ywdt/zwhd/qxdt/202009/t20200907_8628081.html</x:v>
      </x:c>
      <x:c r="K8" s="20" t="str">
        <x:v>现场确认历史遗存可见点</x:v>
      </x:c>
      <x:c r="L8" s="20" t="str">
        <x:v>核心解释</x:v>
      </x:c>
      <x:c r="M8" s="20" t="str">
        <x:v>首次经典|文化历史</x:v>
      </x:c>
      <x:c r="N8" s="20" t="str">
        <x:v>标准|深度</x:v>
      </x:c>
      <x:c r="O8" s="20" t="str">
        <x:v>解释朝天门的门与港</x:v>
      </x:c>
    </x:row>
    <x:row r="9" ht="68" customHeight="1">
      <x:c r="A9" s="20" t="str">
        <x:v>ST04</x:v>
      </x:c>
      <x:c r="B9" s="20" t="str">
        <x:v>湖广填四川不是一句口号</x:v>
      </x:c>
      <x:c r="C9" s="20" t="str">
        <x:v>湖广会馆</x:v>
      </x:c>
      <x:c r="D9" s="20" t="str">
        <x:v>用会所、戏台、神祇和雕刻解释组织结构</x:v>
      </x:c>
      <x:c r="E9" s="20" t="str">
        <x:v>移民需要同乡互助、贸易信用、祭祀与公共生活，会馆是制度化空间</x:v>
      </x:c>
      <x:c r="F9" s="20" t="str">
        <x:v>四川人都是湖广移民后代</x:v>
      </x:c>
      <x:c r="G9" s="20" t="str">
        <x:v>建筑中哪些空间服务商业，哪些服务信仰？</x:v>
      </x:c>
      <x:c r="H9" s="20" t="str">
        <x:v>S1</x:v>
      </x:c>
      <x:c r="I9" s="20" t="str">
        <x:v>https://whlyw.cq.gov.cn/zjwl/yzq/cqwlzy/zqwwzy/202405/t20240507_13182428.html</x:v>
      </x:c>
      <x:c r="J9" s="20" t="str">
        <x:v>https://ghzrzyj.cq.gov.cn/ztlm_186/ghgb/zxgh/202507/P020250716371670706300.pdf</x:v>
      </x:c>
      <x:c r="K9" s="20" t="str">
        <x:v>核验馆内叙事与英文</x:v>
      </x:c>
      <x:c r="L9" s="20" t="str">
        <x:v>核心解释</x:v>
      </x:c>
      <x:c r="M9" s="20" t="str">
        <x:v>文化历史</x:v>
      </x:c>
      <x:c r="N9" s="20" t="str">
        <x:v>标准|深度</x:v>
      </x:c>
      <x:c r="O9" s="20" t="str">
        <x:v>把会馆从古建筑转为移民网络</x:v>
      </x:c>
    </x:row>
    <x:row r="10" ht="68" customHeight="1">
      <x:c r="A10" s="20" t="str">
        <x:v>ST05</x:v>
      </x:c>
      <x:c r="B10" s="20" t="str">
        <x:v>九开八闭与山江防御</x:v>
      </x:c>
      <x:c r="C10" s="20" t="str">
        <x:v>东水门、通远门</x:v>
      </x:c>
      <x:c r="D10" s="20" t="str">
        <x:v>从水门走到陆门，比较内外高差</x:v>
      </x:c>
      <x:c r="E10" s="20" t="str">
        <x:v>十七城门依山就势；通远门不面水，东水门连接长江航运</x:v>
      </x:c>
      <x:c r="F10" s="20" t="str">
        <x:v>重庆古城墙和西安城墙一样连续完整</x:v>
      </x:c>
      <x:c r="G10" s="20" t="str">
        <x:v>为什么很多重庆城墙看起来更像崖壁？</x:v>
      </x:c>
      <x:c r="H10" s="20" t="str">
        <x:v>S1</x:v>
      </x:c>
      <x:c r="I10" s="20" t="str">
        <x:v>https://whlyw.cq.gov.cn/zjwl/yzq/cqwlzy/zqwwzy/202405/t20240507_13182468.html</x:v>
      </x:c>
      <x:c r="J10" s="20" t="str">
        <x:v>https://www.cqyz.gov.cn/zjyz/lyyz/rmdkd/202202/t20220215_10397616.html</x:v>
      </x:c>
      <x:c r="K10" s="20" t="str">
        <x:v>制作两门小地图</x:v>
      </x:c>
      <x:c r="L10" s="20" t="str">
        <x:v>核心解释</x:v>
      </x:c>
      <x:c r="M10" s="20" t="str">
        <x:v>文化历史</x:v>
      </x:c>
      <x:c r="N10" s="20" t="str">
        <x:v>深度</x:v>
      </x:c>
      <x:c r="O10" s="20" t="str">
        <x:v>九开八闭与水陆城门</x:v>
      </x:c>
    </x:row>
    <x:row r="11" ht="68" customHeight="1">
      <x:c r="A11" s="20" t="str">
        <x:v>ST06</x:v>
      </x:c>
      <x:c r="B11" s="20" t="str">
        <x:v>上半城与下半城</x:v>
      </x:c>
      <x:c r="C11" s="20" t="str">
        <x:v>白象街、山城巷、十八梯</x:v>
      </x:c>
      <x:c r="D11" s="20" t="str">
        <x:v>从江边商业与山上政务/居住的高差切入</x:v>
      </x:c>
      <x:c r="E11" s="20" t="str">
        <x:v>城市功能、阶层与交通长期沿坡度分布，步道连接的不只是地点</x:v>
      </x:c>
      <x:c r="F11" s="20" t="str">
        <x:v>十八梯就是老重庆的原貌</x:v>
      </x:c>
      <x:c r="G11" s="20" t="str">
        <x:v>谁每天需要走这些梯道，谁今天把它当景观？</x:v>
      </x:c>
      <x:c r="H11" s="20" t="str">
        <x:v>S1+S2</x:v>
      </x:c>
      <x:c r="I11" s="20" t="str">
        <x:v>https://www.shplanning.com.cn/archive/download/id/487.html</x:v>
      </x:c>
      <x:c r="J11" s="20" t="str">
        <x:v>https://ghzrzyj.cq.gov.cn/bsfw_186/dtfw/mzyt/202511/t20251124_15184222_wap.html</x:v>
      </x:c>
      <x:c r="K11" s="20" t="str">
        <x:v>访谈本地人校正表述</x:v>
      </x:c>
      <x:c r="L11" s="20" t="str">
        <x:v>核心解释</x:v>
      </x:c>
      <x:c r="M11" s="20" t="str">
        <x:v>首次经典|文化历史</x:v>
      </x:c>
      <x:c r="N11" s="20" t="str">
        <x:v>标准|深度</x:v>
      </x:c>
      <x:c r="O11" s="20" t="str">
        <x:v>上下半城与道路系统</x:v>
      </x:c>
    </x:row>
    <x:row r="12" ht="68" customHeight="1">
      <x:c r="A12" s="20" t="str">
        <x:v>ST07</x:v>
      </x:c>
      <x:c r="B12" s="20" t="str">
        <x:v>城市更新如何制造“老街”</x:v>
      </x:c>
      <x:c r="C12" s="20" t="str">
        <x:v>十八梯、龙门浩、二厂</x:v>
      </x:c>
      <x:c r="D12" s="20" t="str">
        <x:v>辨认原构件、修复、新建和商业植入</x:v>
      </x:c>
      <x:c r="E12" s="20" t="str">
        <x:v>历史环境保护、改善生活与消费开发之间始终存在张力</x:v>
      </x:c>
      <x:c r="F12" s="20" t="str">
        <x:v>修得漂亮就等于保护成功/商业化就没有价值</x:v>
      </x:c>
      <x:c r="G12" s="20" t="str">
        <x:v>哪种更新让历史更可读，哪种只制造氛围？</x:v>
      </x:c>
      <x:c r="H12" s="20" t="str">
        <x:v>S1+S2</x:v>
      </x:c>
      <x:c r="I12" s="20" t="str">
        <x:v>https://www.cq.gov.cn/ywdt/jrcq/202605/t20260506_15650945.html</x:v>
      </x:c>
      <x:c r="J12" s="20" t="str">
        <x:v>https://eprints.whiterose.ac.uk/id/eprint/185301/</x:v>
      </x:c>
      <x:c r="K12" s="20" t="str">
        <x:v>建立更新对比照片模板</x:v>
      </x:c>
      <x:c r="L12" s="20" t="str">
        <x:v>核心解释</x:v>
      </x:c>
      <x:c r="M12" s="20" t="str">
        <x:v>文化历史|复游客</x:v>
      </x:c>
      <x:c r="N12" s="20" t="str">
        <x:v>深度</x:v>
      </x:c>
      <x:c r="O12" s="20" t="str">
        <x:v>城市更新与日常价值冲突</x:v>
      </x:c>
    </x:row>
    <x:row r="13" ht="68" customHeight="1">
      <x:c r="A13" s="20" t="str">
        <x:v>ST08</x:v>
      </x:c>
      <x:c r="B13" s="20" t="str">
        <x:v>重庆为什么成为抗战陪都</x:v>
      </x:c>
      <x:c r="C13" s="20" t="str">
        <x:v>三峡博物馆、中山四路、大轰炸遗址</x:v>
      </x:c>
      <x:c r="D13" s="20" t="str">
        <x:v>先看全国迁移，再看一条街的机构密度</x:v>
      </x:c>
      <x:c r="E13" s="20" t="str">
        <x:v>战时政府、工业、学校、媒体和国际机构内迁改变了重庆</x:v>
      </x:c>
      <x:c r="F13" s="20" t="str">
        <x:v>抗战重庆只等于红色旅游</x:v>
      </x:c>
      <x:c r="G13" s="20" t="str">
        <x:v>战争如何改变人口、工业、建筑和国际关系？</x:v>
      </x:c>
      <x:c r="H13" s="20" t="str">
        <x:v>S1</x:v>
      </x:c>
      <x:c r="I13" s="20" t="str">
        <x:v>https://www.cqyz.gov.cn/zjyz/lyyz/rmdkd/202210/t20221005_11164444.html</x:v>
      </x:c>
      <x:c r="J13" s="20" t="str">
        <x:v>https://www.cq.gov.cn/ywdt/zwhd/qxdt/202009/t20200907_8628081.html</x:v>
      </x:c>
      <x:c r="K13" s="20" t="str">
        <x:v>筛选三馆核心展项</x:v>
      </x:c>
      <x:c r="L13" s="20" t="str">
        <x:v>核心解释</x:v>
      </x:c>
      <x:c r="M13" s="20" t="str">
        <x:v>文化历史</x:v>
      </x:c>
      <x:c r="N13" s="20" t="str">
        <x:v>标准|深度</x:v>
      </x:c>
      <x:c r="O13" s="20" t="str">
        <x:v>抗战陪都不是单点景区</x:v>
      </x:c>
    </x:row>
    <x:row r="14" ht="68" customHeight="1">
      <x:c r="A14" s="20" t="str">
        <x:v>ST09</x:v>
      </x:c>
      <x:c r="B14" s="20" t="str">
        <x:v>国际重庆不是今天才出现</x:v>
      </x:c>
      <x:c r="C14" s="20" t="str">
        <x:v>史迪威博物馆、开埠遗址公园</x:v>
      </x:c>
      <x:c r="D14" s="20" t="str">
        <x:v>对比1891开埠与二战盟国网络</x:v>
      </x:c>
      <x:c r="E14" s="20" t="str">
        <x:v>重庆的国际联系既包含被迫开放，也包含战时联盟与当代交流</x:v>
      </x:c>
      <x:c r="F14" s="20" t="str">
        <x:v>开埠就是现代化进步</x:v>
      </x:c>
      <x:c r="G14" s="20" t="str">
        <x:v>谁控制贸易和交通？当地人获得了什么，又失去了什么？</x:v>
      </x:c>
      <x:c r="H14" s="20" t="str">
        <x:v>S1</x:v>
      </x:c>
      <x:c r="I14" s="20" t="str">
        <x:v>https://www.cq.gov.cn/ywdt/zwhd/bmdt/202511/t20251113_15160016.html</x:v>
      </x:c>
      <x:c r="J14" s="20" t="str">
        <x:v>https://www.cq.gov.cn/zwgk/zfxxgkml/zdlyxxgk/ggwh/wh/zxdt/202605/t20260518_15684252.html</x:v>
      </x:c>
      <x:c r="K14" s="20" t="str">
        <x:v>请历史专家审阅英文表述</x:v>
      </x:c>
      <x:c r="L14" s="20" t="str">
        <x:v>核心解释</x:v>
      </x:c>
      <x:c r="M14" s="20" t="str">
        <x:v>文化历史|复游客</x:v>
      </x:c>
      <x:c r="N14" s="20" t="str">
        <x:v>深度</x:v>
      </x:c>
      <x:c r="O14" s="20" t="str">
        <x:v>开埠与世界联系</x:v>
      </x:c>
    </x:row>
    <x:row r="15" ht="68" customHeight="1">
      <x:c r="A15" s="20" t="str">
        <x:v>ST10</x:v>
      </x:c>
      <x:c r="B15" s="20" t="str">
        <x:v>单轨穿楼为什么不是噱头</x:v>
      </x:c>
      <x:c r="C15" s="20" t="str">
        <x:v>轨道2号线、李子坝</x:v>
      </x:c>
      <x:c r="D15" s="20" t="str">
        <x:v>先乘坐，再去观景台</x:v>
      </x:c>
      <x:c r="E15" s="20" t="str">
        <x:v>跨座式单轨、曲线半径、坡度与高架共同适应山地密集城市</x:v>
      </x:c>
      <x:c r="F15" s="20" t="str">
        <x:v>工程师为了网红故意让列车穿楼</x:v>
      </x:c>
      <x:c r="G15" s="20" t="str">
        <x:v>如果只拍一张照片，你错过了哪些系统性设计？</x:v>
      </x:c>
      <x:c r="H15" s="20" t="str">
        <x:v>S1+S2</x:v>
      </x:c>
      <x:c r="I15" s="20" t="str">
        <x:v>https://www.cq.gov.cn/ywdt/jrcq/202605/t20260528_15709853.html</x:v>
      </x:c>
      <x:c r="J15" s="20" t="str">
        <x:v>https://doi.org/10.17645/up.v7i4.5810</x:v>
      </x:c>
      <x:c r="K15" s="20" t="str">
        <x:v>实测方向与车厢</x:v>
      </x:c>
      <x:c r="L15" s="20" t="str">
        <x:v>引流钩子</x:v>
      </x:c>
      <x:c r="M15" s="20" t="str">
        <x:v>首次经典|赛博摄影|亲子轻松</x:v>
      </x:c>
      <x:c r="N15" s="20" t="str">
        <x:v>精简|标准|深度</x:v>
      </x:c>
      <x:c r="O15" s="20" t="str">
        <x:v>单轨作为系统</x:v>
      </x:c>
    </x:row>
    <x:row r="16" ht="68" customHeight="1">
      <x:c r="A16" s="20" t="str">
        <x:v>ST11</x:v>
      </x:c>
      <x:c r="B16" s="20" t="str">
        <x:v>山城步道是一套城市道路</x:v>
      </x:c>
      <x:c r="C16" s="20" t="str">
        <x:v>第三山城步道、黄葛古道</x:v>
      </x:c>
      <x:c r="D16" s="20" t="str">
        <x:v>记录送货、通学、休息、交往而不只拍景</x:v>
      </x:c>
      <x:c r="E16" s="20" t="str">
        <x:v>步道同时承担交通、商业、社区交往和文化展示</x:v>
      </x:c>
      <x:c r="F16" s="20" t="str">
        <x:v>步道是政府后来修的旅游景区</x:v>
      </x:c>
      <x:c r="G16" s="20" t="str">
        <x:v>哪些节点仍以居民需求为主？</x:v>
      </x:c>
      <x:c r="H16" s="20" t="str">
        <x:v>S2</x:v>
      </x:c>
      <x:c r="I16" s="20" t="str">
        <x:v>https://www.shplanning.com.cn/archive/download/id/487.html</x:v>
      </x:c>
      <x:c r="J16" s="20" t="str">
        <x:v>https://ghzrzyj.cq.gov.cn/ztlm_186/ghgb/zxgh/202507/P020250716371670706300.pdf</x:v>
      </x:c>
      <x:c r="K16" s="20" t="str">
        <x:v>记录坡度、座椅与使用者</x:v>
      </x:c>
      <x:c r="L16" s="20" t="str">
        <x:v>真实生活</x:v>
      </x:c>
      <x:c r="M16" s="20" t="str">
        <x:v>首次经典|美食生活|复游客</x:v>
      </x:c>
      <x:c r="N16" s="20" t="str">
        <x:v>标准|深度</x:v>
      </x:c>
      <x:c r="O16" s="20" t="str">
        <x:v>步道作为城市道路</x:v>
      </x:c>
    </x:row>
    <x:row r="17" ht="68" customHeight="1">
      <x:c r="A17" s="20" t="str">
        <x:v>ST12</x:v>
      </x:c>
      <x:c r="B17" s="20" t="str">
        <x:v>交通茶馆的摄影伦理</x:v>
      </x:c>
      <x:c r="C17" s="20" t="str">
        <x:v>交通茶馆</x:v>
      </x:c>
      <x:c r="D17" s="20" t="str">
        <x:v>先消费、观察，再征得同意拍摄</x:v>
      </x:c>
      <x:c r="E17" s="20" t="str">
        <x:v>真实感不是可免费获取的素材；熟客与经营者有空间权利</x:v>
      </x:c>
      <x:c r="F17" s="20" t="str">
        <x:v>老茶馆里的人都是可拍摄的民俗演员</x:v>
      </x:c>
      <x:c r="G17" s="20" t="str">
        <x:v>如果不拍照，这个空间还值得停留吗？</x:v>
      </x:c>
      <x:c r="H17" s="20" t="str">
        <x:v>S1+S2</x:v>
      </x:c>
      <x:c r="I17" s="20" t="str">
        <x:v>https://mzj.cq.gov.cn/sy_218/bmdt/mzyw/t_14233171.html</x:v>
      </x:c>
      <x:c r="J17" s="20" t="str">
        <x:v>https://eprints.whiterose.ac.uk/id/eprint/185301/</x:v>
      </x:c>
      <x:c r="K17" s="20" t="str">
        <x:v>与店方共定接待规则</x:v>
      </x:c>
      <x:c r="L17" s="20" t="str">
        <x:v>真实生活</x:v>
      </x:c>
      <x:c r="M17" s="20" t="str">
        <x:v>赛博摄影|美食生活|复游客</x:v>
      </x:c>
      <x:c r="N17" s="20" t="str">
        <x:v>深度</x:v>
      </x:c>
      <x:c r="O17" s="20" t="str">
        <x:v>茶馆的拍摄伦理</x:v>
      </x:c>
    </x:row>
    <x:row r="18" ht="68" customHeight="1">
      <x:c r="A18" s="20" t="str">
        <x:v>ST13</x:v>
      </x:c>
      <x:c r="B18" s="20" t="str">
        <x:v>火锅是一套共享规则</x:v>
      </x:c>
      <x:c r="C18" s="20" t="str">
        <x:v>双语火锅体验</x:v>
      </x:c>
      <x:c r="D18" s="20" t="str">
        <x:v>让游客参与选锅底、油碟和下菜顺序</x:v>
      </x:c>
      <x:c r="E18" s="20" t="str">
        <x:v>火锅的价值是共同用餐、节奏与地方身份，不只是辣度挑战</x:v>
      </x:c>
      <x:c r="F18" s="20" t="str">
        <x:v>越辣越正宗；内脏是猎奇</x:v>
      </x:c>
      <x:c r="G18" s="20" t="str">
        <x:v>谁决定锅里先下什么？个人口味如何与集体共享协调？</x:v>
      </x:c>
      <x:c r="H18" s="20" t="str">
        <x:v>S1</x:v>
      </x:c>
      <x:c r="I18" s="20" t="str">
        <x:v>https://whlyw.cq.gov.cn/zjwl/szq/zqms/202411/t20241111_13787035.html</x:v>
      </x:c>
      <x:c r="J18" s="20" t="str">
        <x:v>https://whlyw.cq.gov.cn/zwgk_221/zfgkzcwj/qtwj/202607/t20260709_15810099.html</x:v>
      </x:c>
      <x:c r="K18" s="20" t="str">
        <x:v>做过敏与点菜卡</x:v>
      </x:c>
      <x:c r="L18" s="20" t="str">
        <x:v>付费体验</x:v>
      </x:c>
      <x:c r="M18" s="20" t="str">
        <x:v>首次经典|美食生活|亲子轻松</x:v>
      </x:c>
      <x:c r="N18" s="20" t="str">
        <x:v>精简|标准|深度</x:v>
      </x:c>
      <x:c r="O18" s="20" t="str">
        <x:v>火锅共享规则</x:v>
      </x:c>
    </x:row>
    <x:row r="19" ht="68" customHeight="1">
      <x:c r="A19" s="20" t="str">
        <x:v>ST14</x:v>
      </x:c>
      <x:c r="B19" s="20" t="str">
        <x:v>无人机秀讲的是当代重庆</x:v>
      </x:c>
      <x:c r="C19" s="20" t="str">
        <x:v>两江四岸</x:v>
      </x:c>
      <x:c r="D19" s="20" t="str">
        <x:v>观察灯光、空域、人流与疏散协同</x:v>
      </x:c>
      <x:c r="E19" s="20" t="str">
        <x:v>它是城市品牌、低空技术和公共空间治理的综合产品</x:v>
      </x:c>
      <x:c r="F19" s="20" t="str">
        <x:v>这是重庆传统民俗</x:v>
      </x:c>
      <x:c r="G19" s="20" t="str">
        <x:v>当一座城市把天空变成舞台，谁在组织背后的系统？</x:v>
      </x:c>
      <x:c r="H19" s="20" t="str">
        <x:v>S1</x:v>
      </x:c>
      <x:c r="I19" s="20" t="str">
        <x:v>https://www.cq.gov.cn/ywdt/jrcq/202605/t20260531_15716501_app.html</x:v>
      </x:c>
      <x:c r="J19" s="20" t="str">
        <x:v>https://eprints.whiterose.ac.uk/id/eprint/185301/</x:v>
      </x:c>
      <x:c r="K19" s="20" t="str">
        <x:v>按月更新并记录取消率</x:v>
      </x:c>
      <x:c r="L19" s="20" t="str">
        <x:v>引流钩子</x:v>
      </x:c>
      <x:c r="M19" s="20" t="str">
        <x:v>首次经典|赛博摄影</x:v>
      </x:c>
      <x:c r="N19" s="20" t="str">
        <x:v>标准|深度</x:v>
      </x:c>
      <x:c r="O19" s="20" t="str">
        <x:v>灯光秀作为当代品牌</x:v>
      </x:c>
    </x:row>
    <x:row r="20" ht="68" customHeight="1">
      <x:c r="A20" s="21" t="str">
        <x:v>ST15</x:v>
      </x:c>
      <x:c r="B20" s="21" t="str">
        <x:v>为什么不把所有热门点都塞进去</x:v>
      </x:c>
      <x:c r="C20" s="21" t="str">
        <x:v>整个路书</x:v>
      </x:c>
      <x:c r="D20" s="21" t="str">
        <x:v>显示转场、坡度、拥挤和恢复时间</x:v>
      </x:c>
      <x:c r="E20" s="21" t="str">
        <x:v>深度不是地点多，而是观察—解释—取舍—执行形成闭环</x:v>
      </x:c>
      <x:c r="F20" s="21" t="str">
        <x:v>付费路书必须比免费攻略多列景点</x:v>
      </x:c>
      <x:c r="G20" s="21" t="str">
        <x:v>删掉哪个点，反而让城市更容易被理解？</x:v>
      </x:c>
      <x:c r="H20" s="21" t="str">
        <x:v>S3</x:v>
      </x:c>
      <x:c r="I20" s="21" t="str">
        <x:v>https://www.reddit.com/r/travelchina/comments/1o74mfa/trip_report_for_chongqing_4_night_stay/</x:v>
      </x:c>
      <x:c r="J20" s="21" t="str">
        <x:v>https://www.reddit.com/r/travelchina/comments/1v4olqp/thoughts_on_my_chongqing_itinerary/</x:v>
      </x:c>
      <x:c r="K20" s="21" t="str">
        <x:v>实走后记录每次删减理由</x:v>
      </x:c>
      <x:c r="L20" s="21" t="str">
        <x:v>输出规则</x:v>
      </x:c>
      <x:c r="M20" s="21" t="str">
        <x:v>全部</x:v>
      </x:c>
      <x:c r="N20" s="21" t="str">
        <x:v>全部</x:v>
      </x:c>
      <x:c r="O20" s="21" t="str">
        <x:v>深度来自取舍而非点位数量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1c6a6746012148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3" hidden="0" customWidth="1"/>
    <x:col min="3" max="3" width="38" hidden="0" customWidth="1"/>
    <x:col min="4" max="4" width="35" hidden="0" customWidth="1"/>
    <x:col min="5" max="5" width="32" hidden="0" customWidth="1"/>
    <x:col min="6" max="6" width="27" hidden="0" customWidth="1"/>
    <x:col min="7" max="7" width="13" hidden="0" customWidth="1"/>
  </x:cols>
  <x:sheetData>
    <x:row r="1" ht="32" customHeight="1">
      <x:c r="A1" s="3" t="str">
        <x:v>客群规则｜同一数据库，不同重点</x:v>
      </x:c>
      <x:c r="B1" s="3"/>
      <x:c r="C1" s="3"/>
      <x:c r="D1" s="3"/>
      <x:c r="E1" s="3"/>
      <x:c r="F1" s="3"/>
      <x:c r="G1" s="3"/>
    </x:row>
    <x:row r="2" ht="30" customHeight="1">
      <x:c r="A2" s="7" t="str">
        <x:v>画像不是人口统计，而是游客这次旅行最想获得什么。它决定模块优先级和首先删除什么。</x:v>
      </x:c>
      <x:c r="B2" s="7"/>
      <x:c r="C2" s="7"/>
      <x:c r="D2" s="7"/>
      <x:c r="E2" s="7"/>
      <x:c r="F2" s="7"/>
      <x:c r="G2" s="7"/>
    </x:row>
    <x:row r="5" ht="34" customHeight="1">
      <x:c r="A5" s="11" t="str">
        <x:v>客群</x:v>
      </x:c>
      <x:c r="B5" s="11" t="str">
        <x:v>核心需求</x:v>
      </x:c>
      <x:c r="C5" s="11" t="str">
        <x:v>输出承诺</x:v>
      </x:c>
      <x:c r="D5" s="11" t="str">
        <x:v>最常见失败</x:v>
      </x:c>
      <x:c r="E5" s="11" t="str">
        <x:v>必须优先</x:v>
      </x:c>
      <x:c r="F5" s="11" t="str">
        <x:v>首先删除</x:v>
      </x:c>
      <x:c r="G5" s="11" t="str">
        <x:v>建议停留</x:v>
      </x:c>
    </x:row>
    <x:row r="6" ht="62" customHeight="1">
      <x:c r="A6" s="19" t="str">
        <x:v>首次经典</x:v>
      </x:c>
      <x:c r="B6" s="19" t="str">
        <x:v>第一次来重庆，想看到代表性城市形象但不想太累</x:v>
      </x:c>
      <x:c r="C6" s="19" t="str">
        <x:v>赛博视觉＋立体城市＋一条历史线＋火锅</x:v>
      </x:c>
      <x:c r="D6" s="19" t="str">
        <x:v>多点打卡、排队和重复夜景</x:v>
      </x:c>
      <x:c r="E6" s="19" t="str">
        <x:v>RM02|RM03|RM04|RM07|RM10|RM12|RM13|RM16</x:v>
      </x:c>
      <x:c r="F6" s="19" t="str">
        <x:v>RM06|RM09|RM11|RM18</x:v>
      </x:c>
      <x:c r="G6" s="19" t="str">
        <x:v>3天</x:v>
      </x:c>
    </x:row>
    <x:row r="7" ht="62" customHeight="1">
      <x:c r="A7" s="20" t="str">
        <x:v>赛博摄影</x:v>
      </x:c>
      <x:c r="B7" s="20" t="str">
        <x:v>为城市视觉、建筑、交通和夜景而来</x:v>
      </x:c>
      <x:c r="C7" s="20" t="str">
        <x:v>多重地面＋单轨＋外部夜景读图</x:v>
      </x:c>
      <x:c r="D7" s="20" t="str">
        <x:v>只给机位、不解释空间；三个相似夜景</x:v>
      </x:c>
      <x:c r="E7" s="20" t="str">
        <x:v>RM02|RM04|RM16|RM17</x:v>
      </x:c>
      <x:c r="F7" s="20" t="str">
        <x:v>RM11|RM15|RM18</x:v>
      </x:c>
      <x:c r="G7" s="20" t="str">
        <x:v>2—3天</x:v>
      </x:c>
    </x:row>
    <x:row r="8" ht="62" customHeight="1">
      <x:c r="A8" s="20" t="str">
        <x:v>文化历史</x:v>
      </x:c>
      <x:c r="B8" s="20" t="str">
        <x:v>希望理解移民、开埠、抗战和国际关系</x:v>
      </x:c>
      <x:c r="C8" s="20" t="str">
        <x:v>移民母城＋抗战陪都＋开埠南岸</x:v>
      </x:c>
      <x:c r="D8" s="20" t="str">
        <x:v>连续场馆、人物年代过载</x:v>
      </x:c>
      <x:c r="E8" s="20" t="str">
        <x:v>RM07|RM08|RM10|RM13|RM14|RM15|RM19|RM20</x:v>
      </x:c>
      <x:c r="F8" s="20" t="str">
        <x:v>RM05|RM06|RM09</x:v>
      </x:c>
      <x:c r="G8" s="20" t="str">
        <x:v>3—4天</x:v>
      </x:c>
    </x:row>
    <x:row r="9" ht="62" customHeight="1">
      <x:c r="A9" s="20" t="str">
        <x:v>美食生活</x:v>
      </x:c>
      <x:c r="B9" s="20" t="str">
        <x:v>更重视日常饮食、社区和与人互动</x:v>
      </x:c>
      <x:c r="C9" s="20" t="str">
        <x:v>小面＋火锅＋茶馆/夜生活＋一项城市奇观</x:v>
      </x:c>
      <x:c r="D9" s="20" t="str">
        <x:v>只发餐厅名单；侵入居民空间</x:v>
      </x:c>
      <x:c r="E9" s="20" t="str">
        <x:v>RM12|RM06|RM23|RM02</x:v>
      </x:c>
      <x:c r="F9" s="20" t="str">
        <x:v>RM11|RM15|RM18</x:v>
      </x:c>
      <x:c r="G9" s="20" t="str">
        <x:v>2—4天</x:v>
      </x:c>
    </x:row>
    <x:row r="10" ht="62" customHeight="1">
      <x:c r="A10" s="20" t="str">
        <x:v>亲子轻松</x:v>
      </x:c>
      <x:c r="B10" s="20" t="str">
        <x:v>亲子、长辈或低体力，希望内容清楚、转场简单</x:v>
      </x:c>
      <x:c r="C10" s="20" t="str">
        <x:v>博物馆＋轨道交通＋低体力夜景＋安全饮食</x:v>
      </x:c>
      <x:c r="D10" s="20" t="str">
        <x:v>长步道、闷热排队、无休息点</x:v>
      </x:c>
      <x:c r="E10" s="20" t="str">
        <x:v>RM05|RM12|RM13|RM16|RM18</x:v>
      </x:c>
      <x:c r="F10" s="20" t="str">
        <x:v>RM09|RM10|RM11|RM20</x:v>
      </x:c>
      <x:c r="G10" s="20" t="str">
        <x:v>2—3天</x:v>
      </x:c>
    </x:row>
    <x:row r="11" ht="62" customHeight="1">
      <x:c r="A11" s="21" t="str">
        <x:v>复游客</x:v>
      </x:c>
      <x:c r="B11" s="21" t="str">
        <x:v>已经看过洪崖洞和李子坝，想要更真实的街区与主题</x:v>
      </x:c>
      <x:c r="C11" s="21" t="str">
        <x:v>开埠、艺术、社区、工业与本地夜生活</x:v>
      </x:c>
      <x:c r="D11" s="21" t="str">
        <x:v>再次复制首访打卡路线</x:v>
      </x:c>
      <x:c r="E11" s="21" t="str">
        <x:v>RM06|RM08|RM19|RM20|RM22|RM23|RM24</x:v>
      </x:c>
      <x:c r="F11" s="21" t="str">
        <x:v>RM01|RM03|RM05</x:v>
      </x:c>
      <x:c r="G11" s="21" t="str">
        <x:v>3—4天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31ce29f8b614b2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43" hidden="0" customWidth="1"/>
    <x:col min="4" max="4" width="43" hidden="0" customWidth="1"/>
  </x:cols>
  <x:sheetData>
    <x:row r="1" ht="32" customHeight="1">
      <x:c r="A1" s="3" t="str">
        <x:v>游客输出规则｜重点来自删除</x:v>
      </x:c>
      <x:c r="B1" s="3"/>
      <x:c r="C1" s="3"/>
      <x:c r="D1" s="3"/>
    </x:row>
    <x:row r="2" ht="30" customHeight="1">
      <x:c r="A2" s="7" t="str">
        <x:v>数据库可以很深，游客输出必须克制。以下规则限制信息量、重复主题和未核验承诺。</x:v>
      </x:c>
      <x:c r="B2" s="7"/>
      <x:c r="C2" s="7"/>
      <x:c r="D2" s="7"/>
    </x:row>
    <x:row r="5" ht="34" customHeight="1">
      <x:c r="A5" s="11" t="str">
        <x:v>规则层</x:v>
      </x:c>
      <x:c r="B5" s="11" t="str">
        <x:v>控制项</x:v>
      </x:c>
      <x:c r="C5" s="11" t="str">
        <x:v>明确规则</x:v>
      </x:c>
      <x:c r="D5" s="11" t="str">
        <x:v>执行方式</x:v>
      </x:c>
    </x:row>
    <x:row r="6" ht="50" customHeight="1">
      <x:c r="A6" s="19" t="str">
        <x:v>对话状态</x:v>
      </x:c>
      <x:c r="B6" s="19" t="str">
        <x:v>证据分层</x:v>
      </x:c>
      <x:c r="C6" s="19" t="str">
        <x:v>显性事实、潜意图、硬约束、未知项和已作废信息分开保存</x:v>
      </x:c>
      <x:c r="D6" s="19" t="str">
        <x:v>任何推断都必须附客户原话和置信度</x:v>
      </x:c>
    </x:row>
    <x:row r="7" ht="50" customHeight="1">
      <x:c r="A7" s="20" t="str">
        <x:v>潜意图</x:v>
      </x:c>
      <x:c r="B7" s="20" t="str">
        <x:v>排序门槛</x:v>
      </x:c>
      <x:c r="C7" s="20" t="str">
        <x:v>置信度低于50%只生成追问，不得影响模块排序</x:v>
      </x:c>
      <x:c r="D7" s="20" t="str">
        <x:v>涉及安全、收费、拍摄和私域时必须确认</x:v>
      </x:c>
    </x:row>
    <x:row r="8" ht="50" customHeight="1">
      <x:c r="A8" s="20" t="str">
        <x:v>追问预算</x:v>
      </x:c>
      <x:c r="B8" s="20" t="str">
        <x:v>每轮问题数</x:v>
      </x:c>
      <x:c r="C8" s="20" t="str">
        <x:v>最多1—2个</x:v>
      </x:c>
      <x:c r="D8" s="20" t="str">
        <x:v>优先问会改变安全、路线和商业承诺的问题</x:v>
      </x:c>
    </x:row>
    <x:row r="9" ht="50" customHeight="1">
      <x:c r="A9" s="20" t="str">
        <x:v>信息预算</x:v>
      </x:c>
      <x:c r="B9" s="20" t="str">
        <x:v>每日模块数</x:v>
      </x:c>
      <x:c r="C9" s="20" t="str">
        <x:v>精简2个；标准3个；深度4个</x:v>
      </x:c>
      <x:c r="D9" s="20" t="str">
        <x:v>超过即删除，不用缩小字体或塞一句话</x:v>
      </x:c>
    </x:row>
    <x:row r="10" ht="50" customHeight="1">
      <x:c r="A10" s="20" t="str">
        <x:v>叙事预算</x:v>
      </x:c>
      <x:c r="B10" s="20" t="str">
        <x:v>每日主叙事</x:v>
      </x:c>
      <x:c r="C10" s="20" t="str">
        <x:v>只能有1个</x:v>
      </x:c>
      <x:c r="D10" s="20" t="str">
        <x:v>其他内容必须服务主叙事或降为补充</x:v>
      </x:c>
    </x:row>
    <x:row r="11" ht="50" customHeight="1">
      <x:c r="A11" s="20" t="str">
        <x:v>引流钩子</x:v>
      </x:c>
      <x:c r="B11" s="20" t="str">
        <x:v>全程最低</x:v>
      </x:c>
      <x:c r="C11" s="20" t="str">
        <x:v>至少1个赛博/立体城市模块</x:v>
      </x:c>
      <x:c r="D11" s="20" t="str">
        <x:v>没有钩子就难以解释为什么选重庆</x:v>
      </x:c>
    </x:row>
    <x:row r="12" ht="50" customHeight="1">
      <x:c r="A12" s="20" t="str">
        <x:v>真实生活</x:v>
      </x:c>
      <x:c r="B12" s="20" t="str">
        <x:v>全程最低</x:v>
      </x:c>
      <x:c r="C12" s="20" t="str">
        <x:v>至少1个食物或社区模块</x:v>
      </x:c>
      <x:c r="D12" s="20" t="str">
        <x:v>不能全部是视觉打卡和场馆</x:v>
      </x:c>
    </x:row>
    <x:row r="13" ht="50" customHeight="1">
      <x:c r="A13" s="20" t="str">
        <x:v>深度解释</x:v>
      </x:c>
      <x:c r="B13" s="20" t="str">
        <x:v>模块内部</x:v>
      </x:c>
      <x:c r="C13" s="20" t="str">
        <x:v>每个模块只讲1个核心解释</x:v>
      </x:c>
      <x:c r="D13" s="20" t="str">
        <x:v>资料再多也不向游客倾倒</x:v>
      </x:c>
    </x:row>
    <x:row r="14" ht="50" customHeight="1">
      <x:c r="A14" s="20" t="str">
        <x:v>参与任务</x:v>
      </x:c>
      <x:c r="B14" s="20" t="str">
        <x:v>模块内部</x:v>
      </x:c>
      <x:c r="C14" s="20" t="str">
        <x:v>每个模块1个观察任务</x:v>
      </x:c>
      <x:c r="D14" s="20" t="str">
        <x:v>把游客从被动听讲变为主动发现</x:v>
      </x:c>
    </x:row>
    <x:row r="15" ht="50" customHeight="1">
      <x:c r="A15" s="20" t="str">
        <x:v>现实提醒</x:v>
      </x:c>
      <x:c r="B15" s="20" t="str">
        <x:v>模块内部</x:v>
      </x:c>
      <x:c r="C15" s="20" t="str">
        <x:v>只保留1个最高风险</x:v>
      </x:c>
      <x:c r="D15" s="20" t="str">
        <x:v>详细核验记录留在内部数据库</x:v>
      </x:c>
    </x:row>
    <x:row r="16" ht="50" customHeight="1">
      <x:c r="A16" s="20" t="str">
        <x:v>夜景去重</x:v>
      </x:c>
      <x:c r="B16" s="20" t="str">
        <x:v>全程上限</x:v>
      </x:c>
      <x:c r="C16" s="20" t="str">
        <x:v>夜景/观景最多2个模块</x:v>
      </x:c>
      <x:c r="D16" s="20" t="str">
        <x:v>洪崖洞、游船、索道、观景台不能全部给</x:v>
      </x:c>
    </x:row>
    <x:row r="17" ht="50" customHeight="1">
      <x:c r="A17" s="20" t="str">
        <x:v>老街去重</x:v>
      </x:c>
      <x:c r="B17" s="20" t="str">
        <x:v>全程上限</x:v>
      </x:c>
      <x:c r="C17" s="20" t="str">
        <x:v>更新街区/老街最多1—2个</x:v>
      </x:c>
      <x:c r="D17" s="20" t="str">
        <x:v>十八梯、磁器口、下浩里按主题选择</x:v>
      </x:c>
    </x:row>
    <x:row r="18" ht="50" customHeight="1">
      <x:c r="A18" s="20" t="str">
        <x:v>博物馆去重</x:v>
      </x:c>
      <x:c r="B18" s="20" t="str">
        <x:v>单日上限</x:v>
      </x:c>
      <x:c r="C18" s="20" t="str">
        <x:v>最多2个场馆</x:v>
      </x:c>
      <x:c r="D18" s="20" t="str">
        <x:v>连续场馆会降低体验和记忆</x:v>
      </x:c>
    </x:row>
    <x:row r="19" ht="50" customHeight="1">
      <x:c r="A19" s="20" t="str">
        <x:v>交通去重</x:v>
      </x:c>
      <x:c r="B19" s="20" t="str">
        <x:v>全程上限</x:v>
      </x:c>
      <x:c r="C19" s="20" t="str">
        <x:v>交通奇观最多2个</x:v>
      </x:c>
      <x:c r="D19" s="20" t="str">
        <x:v>2号线乘车优先于单独观景台</x:v>
      </x:c>
    </x:row>
    <x:row r="20" ht="50" customHeight="1">
      <x:c r="A20" s="20" t="str">
        <x:v>客户输出字段</x:v>
      </x:c>
      <x:c r="B20" s="20" t="str">
        <x:v>只输出</x:v>
      </x:c>
      <x:c r="C20" s="20" t="str">
        <x:v>模块名、核心节点、承诺、核心解释、任务、时长、现实提醒</x:v>
      </x:c>
      <x:c r="D20" s="20" t="str">
        <x:v>不输出分数、来源URL、内部风险讨论</x:v>
      </x:c>
    </x:row>
    <x:row r="21" ht="50" customHeight="1">
      <x:c r="A21" s="20" t="str">
        <x:v>动态信息</x:v>
      </x:c>
      <x:c r="B21" s="20" t="str">
        <x:v>发布前</x:v>
      </x:c>
      <x:c r="C21" s="20" t="str">
        <x:v>施工、开放、演出、天气、桥梁管制必须复核</x:v>
      </x:c>
      <x:c r="D21" s="20" t="str">
        <x:v>无复核就用条件句或删除</x:v>
      </x:c>
    </x:row>
    <x:row r="22" ht="50" customHeight="1">
      <x:c r="A22" s="20" t="str">
        <x:v>收费门槛</x:v>
      </x:c>
      <x:c r="B22" s="20" t="str">
        <x:v>体验类</x:v>
      </x:c>
      <x:c r="C22" s="20" t="str">
        <x:v>必须有预约、价格、人数、英文、拍摄、取消与安全规则</x:v>
      </x:c>
      <x:c r="D22" s="20" t="str">
        <x:v>不满足则只作为线索，不对外销售</x:v>
      </x:c>
    </x:row>
    <x:row r="23" ht="50" customHeight="1">
      <x:c r="A23" s="21" t="str">
        <x:v>商业承接</x:v>
      </x:c>
      <x:c r="B23" s="21" t="str">
        <x:v>购买信号</x:v>
      </x:c>
      <x:c r="C23" s="21" t="str">
        <x:v>连续询问价格、取消、付款或人工服务时进入明确报价流程</x:v>
      </x:c>
      <x:c r="D23" s="21" t="str">
        <x:v>不再继续堆免费灵感内容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f62688b2bc642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18" hidden="0" customWidth="1"/>
    <x:col min="5" max="5" width="13" hidden="0" customWidth="1"/>
    <x:col min="6" max="6" width="14" hidden="0" customWidth="1"/>
    <x:col min="7" max="7" width="15" hidden="0" customWidth="1"/>
    <x:col min="8" max="8" width="15" hidden="0" customWidth="1"/>
    <x:col min="9" max="9" width="36" hidden="0" customWidth="1"/>
    <x:col min="10" max="10" width="32" hidden="0" customWidth="1"/>
    <x:col min="11" max="11" width="36" hidden="0" customWidth="1"/>
  </x:cols>
  <x:sheetData>
    <x:row r="1" ht="32" customHeight="1">
      <x:c r="A1" s="3" t="str">
        <x:v>实地核验｜决定能不能卖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7" t="str">
        <x:v>数据库中的网络研究只有完成路线、拍摄、英语、人数、价格和安全核验后，才能转为确定的游客承诺。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 ht="34" customHeight="1">
      <x:c r="A5" s="11" t="str">
        <x:v>核验ID</x:v>
      </x:c>
      <x:c r="B5" s="11" t="str">
        <x:v>模块</x:v>
      </x:c>
      <x:c r="C5" s="11" t="str">
        <x:v>对象</x:v>
      </x:c>
      <x:c r="D5" s="11" t="str">
        <x:v>方式</x:v>
      </x:c>
      <x:c r="E5" s="11" t="str">
        <x:v>优先级</x:v>
      </x:c>
      <x:c r="F5" s="11" t="str">
        <x:v>状态</x:v>
      </x:c>
      <x:c r="G5" s="11" t="str">
        <x:v>核验人</x:v>
      </x:c>
      <x:c r="H5" s="11" t="str">
        <x:v>核验日期</x:v>
      </x:c>
      <x:c r="I5" s="11" t="str">
        <x:v>必须记录</x:v>
      </x:c>
      <x:c r="J5" s="11" t="str">
        <x:v>合格交付物</x:v>
      </x:c>
      <x:c r="K5" s="11" t="str">
        <x:v>来源URL</x:v>
      </x:c>
    </x:row>
    <x:row r="6" ht="52" customHeight="1">
      <x:c r="A6" s="19" t="str">
        <x:v>FV001</x:v>
      </x:c>
      <x:c r="B6" s="19" t="str">
        <x:v>D1</x:v>
      </x:c>
      <x:c r="C6" s="19" t="str">
        <x:v>解放碑→罗汉寺→魁星楼</x:v>
      </x:c>
      <x:c r="D6" s="19" t="str">
        <x:v>完整实走</x:v>
      </x:c>
      <x:c r="E6" s="19" t="str">
        <x:v>最高</x:v>
      </x:c>
      <x:c r="F6" s="19" t="str">
        <x:v>未开始</x:v>
      </x:c>
      <x:c r="G6" s="19"/>
      <x:c r="H6" s="19"/>
      <x:c r="I6" s="19" t="str">
        <x:v>门到门时间、入口层级、洗手间、清晨人流</x:v>
      </x:c>
      <x:c r="J6" s="19" t="str">
        <x:v>一张可执行入口图</x:v>
      </x:c>
      <x:c r="K6" s="19" t="str">
        <x:v>https://www.reddit.com/r/travelchina/comments/1t4cdvm/help_planning_chongqing/</x:v>
      </x:c>
    </x:row>
    <x:row r="7" ht="52" customHeight="1">
      <x:c r="A7" s="20" t="str">
        <x:v>FV002</x:v>
      </x:c>
      <x:c r="B7" s="20" t="str">
        <x:v>D1</x:v>
      </x:c>
      <x:c r="C7" s="20" t="str">
        <x:v>朝天门江岸</x:v>
      </x:c>
      <x:c r="D7" s="20" t="str">
        <x:v>入口核验</x:v>
      </x:c>
      <x:c r="E7" s="20" t="str">
        <x:v>最高</x:v>
      </x:c>
      <x:c r="F7" s="20" t="str">
        <x:v>未开始</x:v>
      </x:c>
      <x:c r="G7" s="20"/>
      <x:c r="H7" s="20"/>
      <x:c r="I7" s="20" t="str">
        <x:v>地铁出口到江岸、落客点、座椅、暴晒</x:v>
      </x:c>
      <x:c r="J7" s="20" t="str">
        <x:v>白天/雨天两条进入路径</x:v>
      </x:c>
      <x:c r="K7" s="20" t="str">
        <x:v>https://www.cq.gov.cn/zwgk/zfxxgkml/zdlyxxgk/ggwh/ly/zxdt/202511/t20251107_15146900.html</x:v>
      </x:c>
    </x:row>
    <x:row r="8" ht="52" customHeight="1">
      <x:c r="A8" s="20" t="str">
        <x:v>FV003</x:v>
      </x:c>
      <x:c r="B8" s="20" t="str">
        <x:v>D1</x:v>
      </x:c>
      <x:c r="C8" s="20" t="str">
        <x:v>洪崖洞→千厮门→大剧院</x:v>
      </x:c>
      <x:c r="D8" s="20" t="str">
        <x:v>夜间实走</x:v>
      </x:c>
      <x:c r="E8" s="20" t="str">
        <x:v>最高</x:v>
      </x:c>
      <x:c r="F8" s="20" t="str">
        <x:v>未开始</x:v>
      </x:c>
      <x:c r="G8" s="20"/>
      <x:c r="H8" s="20"/>
      <x:c r="I8" s="20" t="str">
        <x:v>亮灯、人流、桥面风、退出点、返程</x:v>
      </x:c>
      <x:c r="J8" s="20" t="str">
        <x:v>45分钟与90分钟两个版本</x:v>
      </x:c>
      <x:c r="K8" s="20" t="str">
        <x:v>https://www.cq.gov.cn/ywdt/jrcq/202605/t20260531_15716501_app.html</x:v>
      </x:c>
    </x:row>
    <x:row r="9" ht="52" customHeight="1">
      <x:c r="A9" s="20" t="str">
        <x:v>FV004</x:v>
      </x:c>
      <x:c r="B9" s="20" t="str">
        <x:v>D1</x:v>
      </x:c>
      <x:c r="C9" s="20" t="str">
        <x:v>无人机秀</x:v>
      </x:c>
      <x:c r="D9" s="20" t="str">
        <x:v>排期+人流</x:v>
      </x:c>
      <x:c r="E9" s="20" t="str">
        <x:v>高</x:v>
      </x:c>
      <x:c r="F9" s="20" t="str">
        <x:v>未开始</x:v>
      </x:c>
      <x:c r="G9" s="20"/>
      <x:c r="H9" s="20"/>
      <x:c r="I9" s="20" t="str">
        <x:v>观赏区、提前到达、封控、疏散、取消</x:v>
      </x:c>
      <x:c r="J9" s="20" t="str">
        <x:v>按月更新规则</x:v>
      </x:c>
      <x:c r="K9" s="20" t="str">
        <x:v>https://www.cq.gov.cn/ywdt/jrcq/202605/t20260531_15716501_app.html</x:v>
      </x:c>
    </x:row>
    <x:row r="10" ht="52" customHeight="1">
      <x:c r="A10" s="20" t="str">
        <x:v>FV005</x:v>
      </x:c>
      <x:c r="B10" s="20" t="str">
        <x:v>D2</x:v>
      </x:c>
      <x:c r="C10" s="20" t="str">
        <x:v>湖广会馆</x:v>
      </x:c>
      <x:c r="D10" s="20" t="str">
        <x:v>电话+现场</x:v>
      </x:c>
      <x:c r="E10" s="20" t="str">
        <x:v>最高</x:v>
      </x:c>
      <x:c r="F10" s="20" t="str">
        <x:v>未开始</x:v>
      </x:c>
      <x:c r="G10" s="20"/>
      <x:c r="H10" s="20"/>
      <x:c r="I10" s="20" t="str">
        <x:v>护照票务、英文导览、演出、拍摄、团体</x:v>
      </x:c>
      <x:c r="J10" s="20" t="str">
        <x:v>英语讲解可承诺范围</x:v>
      </x:c>
      <x:c r="K10" s="20" t="str">
        <x:v>https://whlyw.cq.gov.cn/hdjl_221/xzzq/202601/t20260115_15320860.html</x:v>
      </x:c>
    </x:row>
    <x:row r="11" ht="52" customHeight="1">
      <x:c r="A11" s="20" t="str">
        <x:v>FV006</x:v>
      </x:c>
      <x:c r="B11" s="20" t="str">
        <x:v>D2</x:v>
      </x:c>
      <x:c r="C11" s="20" t="str">
        <x:v>湖广会馆→东水门→白象街</x:v>
      </x:c>
      <x:c r="D11" s="20" t="str">
        <x:v>完整实走</x:v>
      </x:c>
      <x:c r="E11" s="20" t="str">
        <x:v>最高</x:v>
      </x:c>
      <x:c r="F11" s="20" t="str">
        <x:v>未开始</x:v>
      </x:c>
      <x:c r="G11" s="20"/>
      <x:c r="H11" s="20"/>
      <x:c r="I11" s="20" t="str">
        <x:v>连通路径、台阶、迷路点、历史建筑开放</x:v>
      </x:c>
      <x:c r="J11" s="20" t="str">
        <x:v>小地图和转场分钟</x:v>
      </x:c>
      <x:c r="K11" s="20" t="str">
        <x:v>https://whlyw.cq.gov.cn/zjwl/yzq/cqwlzy/zqwwzy/202405/t20240507_13182468.html</x:v>
      </x:c>
    </x:row>
    <x:row r="12" ht="52" customHeight="1">
      <x:c r="A12" s="20" t="str">
        <x:v>FV007</x:v>
      </x:c>
      <x:c r="B12" s="20" t="str">
        <x:v>D2</x:v>
      </x:c>
      <x:c r="C12" s="20" t="str">
        <x:v>白象居公共边界</x:v>
      </x:c>
      <x:c r="D12" s="20" t="str">
        <x:v>本地判断</x:v>
      </x:c>
      <x:c r="E12" s="20" t="str">
        <x:v>最高</x:v>
      </x:c>
      <x:c r="F12" s="20" t="str">
        <x:v>未开始</x:v>
      </x:c>
      <x:c r="G12" s="20"/>
      <x:c r="H12" s="20"/>
      <x:c r="I12" s="20" t="str">
        <x:v>公共通道、消防、居民隐私、摄影边界</x:v>
      </x:c>
      <x:c r="J12" s="20" t="str">
        <x:v>明确可走/不可走清单</x:v>
      </x:c>
      <x:c r="K12" s="20" t="str">
        <x:v>https://eprints.whiterose.ac.uk/id/eprint/185301/</x:v>
      </x:c>
    </x:row>
    <x:row r="13" ht="52" customHeight="1">
      <x:c r="A13" s="20" t="str">
        <x:v>FV008</x:v>
      </x:c>
      <x:c r="B13" s="20" t="str">
        <x:v>D2</x:v>
      </x:c>
      <x:c r="C13" s="20" t="str">
        <x:v>通远门→山城巷自上而下</x:v>
      </x:c>
      <x:c r="D13" s="20" t="str">
        <x:v>完整实走</x:v>
      </x:c>
      <x:c r="E13" s="20" t="str">
        <x:v>最高</x:v>
      </x:c>
      <x:c r="F13" s="20" t="str">
        <x:v>未开始</x:v>
      </x:c>
      <x:c r="G13" s="20"/>
      <x:c r="H13" s="20"/>
      <x:c r="I13" s="20" t="str">
        <x:v>步数、坡度、座椅、饮水、厕所、退出点</x:v>
      </x:c>
      <x:c r="J13" s="20" t="str">
        <x:v>高体力与中体力版本</x:v>
      </x:c>
      <x:c r="K13" s="20" t="str">
        <x:v>https://www.shplanning.com.cn/archive/download/id/487.html</x:v>
      </x:c>
    </x:row>
    <x:row r="14" ht="52" customHeight="1">
      <x:c r="A14" s="20" t="str">
        <x:v>FV009</x:v>
      </x:c>
      <x:c r="B14" s="20" t="str">
        <x:v>D2</x:v>
      </x:c>
      <x:c r="C14" s="20" t="str">
        <x:v>十八梯</x:v>
      </x:c>
      <x:c r="D14" s="20" t="str">
        <x:v>取舍测试</x:v>
      </x:c>
      <x:c r="E14" s="20" t="str">
        <x:v>中</x:v>
      </x:c>
      <x:c r="F14" s="20" t="str">
        <x:v>未开始</x:v>
      </x:c>
      <x:c r="G14" s="20"/>
      <x:c r="H14" s="20"/>
      <x:c r="I14" s="20" t="str">
        <x:v>只通行30分钟是否足够、拥挤阈值</x:v>
      </x:c>
      <x:c r="J14" s="20" t="str">
        <x:v>保留或删除决定</x:v>
      </x:c>
      <x:c r="K14" s="20" t="str">
        <x:v>https://ghzrzyj.cq.gov.cn/bsfw_186/dtfw/mzyt/202511/t20251124_15184222_wap.html</x:v>
      </x:c>
    </x:row>
    <x:row r="15" ht="52" customHeight="1">
      <x:c r="A15" s="20" t="str">
        <x:v>FV010</x:v>
      </x:c>
      <x:c r="B15" s="20" t="str">
        <x:v>D2</x:v>
      </x:c>
      <x:c r="C15" s="20" t="str">
        <x:v>大轰炸遗址陈列馆</x:v>
      </x:c>
      <x:c r="D15" s="20" t="str">
        <x:v>内容核验</x:v>
      </x:c>
      <x:c r="E15" s="20" t="str">
        <x:v>高</x:v>
      </x:c>
      <x:c r="F15" s="20" t="str">
        <x:v>未开始</x:v>
      </x:c>
      <x:c r="G15" s="20"/>
      <x:c r="H15" s="20"/>
      <x:c r="I15" s="20" t="str">
        <x:v>英文、适龄、情绪强度、开放</x:v>
      </x:c>
      <x:c r="J15" s="20" t="str">
        <x:v>内容预警与恢复安排</x:v>
      </x:c>
      <x:c r="K15" s="20" t="str">
        <x:v>https://whlyw.cq.gov.cn/zwxx_221/bmdt/tzgg/202601/t20260115_15320690.html</x:v>
      </x:c>
    </x:row>
    <x:row r="16" ht="52" customHeight="1">
      <x:c r="A16" s="20" t="str">
        <x:v>FV011</x:v>
      </x:c>
      <x:c r="B16" s="20" t="str">
        <x:v>D3</x:v>
      </x:c>
      <x:c r="C16" s="20" t="str">
        <x:v>三峡博物馆</x:v>
      </x:c>
      <x:c r="D16" s="20" t="str">
        <x:v>护照+展厅</x:v>
      </x:c>
      <x:c r="E16" s="20" t="str">
        <x:v>最高</x:v>
      </x:c>
      <x:c r="F16" s="20" t="str">
        <x:v>未开始</x:v>
      </x:c>
      <x:c r="G16" s="20"/>
      <x:c r="H16" s="20"/>
      <x:c r="I16" s="20" t="str">
        <x:v>护照入馆、英文展签、3个核心展厅、周一替代</x:v>
      </x:c>
      <x:c r="J16" s="20" t="str">
        <x:v>90/150分钟版本</x:v>
      </x:c>
      <x:c r="K16" s="20" t="str">
        <x:v>https://www.3gmuseum.cn/web/article/1430010139317059584/web/content_1430010139317059584.html</x:v>
      </x:c>
    </x:row>
    <x:row r="17" ht="52" customHeight="1">
      <x:c r="A17" s="20" t="str">
        <x:v>FV012</x:v>
      </x:c>
      <x:c r="B17" s="20" t="str">
        <x:v>D3</x:v>
      </x:c>
      <x:c r="C17" s="20" t="str">
        <x:v>中山四路三馆</x:v>
      </x:c>
      <x:c r="D17" s="20" t="str">
        <x:v>逐馆核验</x:v>
      </x:c>
      <x:c r="E17" s="20" t="str">
        <x:v>最高</x:v>
      </x:c>
      <x:c r="F17" s="20" t="str">
        <x:v>未开始</x:v>
      </x:c>
      <x:c r="G17" s="20"/>
      <x:c r="H17" s="20"/>
      <x:c r="I17" s="20" t="str">
        <x:v>开放日、安检、英文、拍摄、连线</x:v>
      </x:c>
      <x:c r="J17" s="20" t="str">
        <x:v>周一与普通日两个版本</x:v>
      </x:c>
      <x:c r="K17" s="20" t="str">
        <x:v>https://www.cqyz.gov.cn/zjyz/lyyz/rmdkd/202210/t20221005_11164444.html</x:v>
      </x:c>
    </x:row>
    <x:row r="18" ht="52" customHeight="1">
      <x:c r="A18" s="20" t="str">
        <x:v>FV013</x:v>
      </x:c>
      <x:c r="B18" s="20" t="str">
        <x:v>D3</x:v>
      </x:c>
      <x:c r="C18" s="20" t="str">
        <x:v>史迪威博物馆</x:v>
      </x:c>
      <x:c r="D18" s="20" t="str">
        <x:v>电话+现场</x:v>
      </x:c>
      <x:c r="E18" s="20" t="str">
        <x:v>最高</x:v>
      </x:c>
      <x:c r="F18" s="20" t="str">
        <x:v>未开始</x:v>
      </x:c>
      <x:c r="G18" s="20"/>
      <x:c r="H18" s="20"/>
      <x:c r="I18" s="20" t="str">
        <x:v>英文讲解、预约、展览、团队、拍摄</x:v>
      </x:c>
      <x:c r="J18" s="20" t="str">
        <x:v>国际客群讲解模块</x:v>
      </x:c>
      <x:c r="K18" s="20" t="str">
        <x:v>https://www.cq.gov.cn/zwgk/zfxxgkml/zdlyxxgk/ggwh/wh/zxdt/202605/t20260518_15684252.html</x:v>
      </x:c>
    </x:row>
    <x:row r="19" ht="52" customHeight="1">
      <x:c r="A19" s="20" t="str">
        <x:v>FV014</x:v>
      </x:c>
      <x:c r="B19" s="20" t="str">
        <x:v>D3</x:v>
      </x:c>
      <x:c r="C19" s="20" t="str">
        <x:v>2号线乘车</x:v>
      </x:c>
      <x:c r="D19" s="20" t="str">
        <x:v>实测</x:v>
      </x:c>
      <x:c r="E19" s="20" t="str">
        <x:v>最高</x:v>
      </x:c>
      <x:c r="F19" s="20" t="str">
        <x:v>未开始</x:v>
      </x:c>
      <x:c r="G19" s="20"/>
      <x:c r="H19" s="20"/>
      <x:c r="I19" s="20" t="str">
        <x:v>方向、车厢、时段、沿途观察点</x:v>
      </x:c>
      <x:c r="J19" s="20" t="str">
        <x:v>车内观察脚本</x:v>
      </x:c>
      <x:c r="K19" s="20" t="str">
        <x:v>https://www.cq.gov.cn/ywdt/jrcq/202605/t20260528_15709853.html</x:v>
      </x:c>
    </x:row>
    <x:row r="20" ht="52" customHeight="1">
      <x:c r="A20" s="20" t="str">
        <x:v>FV015</x:v>
      </x:c>
      <x:c r="B20" s="20" t="str">
        <x:v>D3</x:v>
      </x:c>
      <x:c r="C20" s="20" t="str">
        <x:v>李子坝施工</x:v>
      </x:c>
      <x:c r="D20" s="20" t="str">
        <x:v>每月复核</x:v>
      </x:c>
      <x:c r="E20" s="20" t="str">
        <x:v>最高</x:v>
      </x:c>
      <x:c r="F20" s="20" t="str">
        <x:v>未开始</x:v>
      </x:c>
      <x:c r="G20" s="20"/>
      <x:c r="H20" s="20"/>
      <x:c r="I20" s="20" t="str">
        <x:v>出入口、扶梯、封闭区、观景台动线</x:v>
      </x:c>
      <x:c r="J20" s="20" t="str">
        <x:v>2026-12-30前动态提示</x:v>
      </x:c>
      <x:c r="K20" s="20" t="str">
        <x:v>https://www.cq.gov.cn/ywdt/jrcq/202606/t20260613_15751500.html</x:v>
      </x:c>
    </x:row>
    <x:row r="21" ht="52" customHeight="1">
      <x:c r="A21" s="20" t="str">
        <x:v>FV016</x:v>
      </x:c>
      <x:c r="B21" s="20" t="str">
        <x:v>D3</x:v>
      </x:c>
      <x:c r="C21" s="20" t="str">
        <x:v>鹅岭公园</x:v>
      </x:c>
      <x:c r="D21" s="20" t="str">
        <x:v>时段测试</x:v>
      </x:c>
      <x:c r="E21" s="20" t="str">
        <x:v>中</x:v>
      </x:c>
      <x:c r="F21" s="20" t="str">
        <x:v>未开始</x:v>
      </x:c>
      <x:c r="G21" s="20"/>
      <x:c r="H21" s="20"/>
      <x:c r="I21" s="20" t="str">
        <x:v>瞰胜楼开放、日落、雾、座椅、返程</x:v>
      </x:c>
      <x:c r="J21" s="20" t="str">
        <x:v>能见度删除规则</x:v>
      </x:c>
      <x:c r="K21" s="20" t="str">
        <x:v>https://ghzrzyj.cq.gov.cn/ztlm_186/ghgb/zxgh/202507/P020250716371670706300.pdf</x:v>
      </x:c>
    </x:row>
    <x:row r="22" ht="52" customHeight="1">
      <x:c r="A22" s="20" t="str">
        <x:v>FV017</x:v>
      </x:c>
      <x:c r="B22" s="20" t="str">
        <x:v>D4A</x:v>
      </x:c>
      <x:c r="C22" s="20" t="str">
        <x:v>开埠遗址公园</x:v>
      </x:c>
      <x:c r="D22" s="20" t="str">
        <x:v>电话+现场</x:v>
      </x:c>
      <x:c r="E22" s="20" t="str">
        <x:v>最高</x:v>
      </x:c>
      <x:c r="F22" s="20" t="str">
        <x:v>未开始</x:v>
      </x:c>
      <x:c r="G22" s="20"/>
      <x:c r="H22" s="20"/>
      <x:c r="I22" s="20" t="str">
        <x:v>开放建筑、展陈英文、票务、导览</x:v>
      </x:c>
      <x:c r="J22" s="20" t="str">
        <x:v>90分钟内容线</x:v>
      </x:c>
      <x:c r="K22" s="20" t="str">
        <x:v>https://www.cq.gov.cn/ywdt/jrcq/202605/t20260506_15650945.html</x:v>
      </x:c>
    </x:row>
    <x:row r="23" ht="52" customHeight="1">
      <x:c r="A23" s="20" t="str">
        <x:v>FV018</x:v>
      </x:c>
      <x:c r="B23" s="20" t="str">
        <x:v>D4A</x:v>
      </x:c>
      <x:c r="C23" s="20" t="str">
        <x:v>黄葛古道</x:v>
      </x:c>
      <x:c r="D23" s="20" t="str">
        <x:v>完整实走</x:v>
      </x:c>
      <x:c r="E23" s="20" t="str">
        <x:v>最高</x:v>
      </x:c>
      <x:c r="F23" s="20" t="str">
        <x:v>未开始</x:v>
      </x:c>
      <x:c r="G23" s="20"/>
      <x:c r="H23" s="20"/>
      <x:c r="I23" s="20" t="str">
        <x:v>上/下行差异、坡度、补水、厕所、退出</x:v>
      </x:c>
      <x:c r="J23" s="20" t="str">
        <x:v>徒步风险分级</x:v>
      </x:c>
      <x:c r="K23" s="20" t="str">
        <x:v>https://www.shplanning.com.cn/archive/download/id/487.html</x:v>
      </x:c>
    </x:row>
    <x:row r="24" ht="52" customHeight="1">
      <x:c r="A24" s="20" t="str">
        <x:v>FV019</x:v>
      </x:c>
      <x:c r="B24" s="20" t="str">
        <x:v>D4A</x:v>
      </x:c>
      <x:c r="C24" s="20" t="str">
        <x:v>黄桷垭午餐与返程</x:v>
      </x:c>
      <x:c r="D24" s="20" t="str">
        <x:v>供应核验</x:v>
      </x:c>
      <x:c r="E24" s="20" t="str">
        <x:v>高</x:v>
      </x:c>
      <x:c r="F24" s="20" t="str">
        <x:v>未开始</x:v>
      </x:c>
      <x:c r="G24" s="20"/>
      <x:c r="H24" s="20"/>
      <x:c r="I24" s="20" t="str">
        <x:v>餐饮、非辣、座位、打车、公交</x:v>
      </x:c>
      <x:c r="J24" s="20" t="str">
        <x:v>恢复节点清单</x:v>
      </x:c>
      <x:c r="K24" s="20" t="str">
        <x:v>https://ghzrzyj.cq.gov.cn/bsfw_186/dtfw/mzyt/202511/t20251124_15184222_wap.html</x:v>
      </x:c>
    </x:row>
    <x:row r="25" ht="52" customHeight="1">
      <x:c r="A25" s="20" t="str">
        <x:v>FV020</x:v>
      </x:c>
      <x:c r="B25" s="20" t="str">
        <x:v>D4A</x:v>
      </x:c>
      <x:c r="C25" s="20" t="str">
        <x:v>龙门浩—下浩里</x:v>
      </x:c>
      <x:c r="D25" s="20" t="str">
        <x:v>完整实走</x:v>
      </x:c>
      <x:c r="E25" s="20" t="str">
        <x:v>最高</x:v>
      </x:c>
      <x:c r="F25" s="20" t="str">
        <x:v>未开始</x:v>
      </x:c>
      <x:c r="G25" s="20"/>
      <x:c r="H25" s="20"/>
      <x:c r="I25" s="20" t="str">
        <x:v>上层低体力入口、台阶、日落、夜归</x:v>
      </x:c>
      <x:c r="J25" s="20" t="str">
        <x:v>高/低体力双动线</x:v>
      </x:c>
      <x:c r="K25" s="20" t="str">
        <x:v>https://www.cq.gov.cn/ywdt/zwhd/bmdt/202511/t20251113_15160016.html</x:v>
      </x:c>
    </x:row>
    <x:row r="26" ht="52" customHeight="1">
      <x:c r="A26" s="20" t="str">
        <x:v>FV021</x:v>
      </x:c>
      <x:c r="B26" s="20" t="str">
        <x:v>D4B</x:v>
      </x:c>
      <x:c r="C26" s="20" t="str">
        <x:v>交通茶馆</x:v>
      </x:c>
      <x:c r="D26" s="20" t="str">
        <x:v>商户访谈</x:v>
      </x:c>
      <x:c r="E26" s="20" t="str">
        <x:v>最高</x:v>
      </x:c>
      <x:c r="F26" s="20" t="str">
        <x:v>未开始</x:v>
      </x:c>
      <x:c r="G26" s="20"/>
      <x:c r="H26" s="20"/>
      <x:c r="I26" s="20" t="str">
        <x:v>团队人数、拍摄、价格、英语、取消</x:v>
      </x:c>
      <x:c r="J26" s="20" t="str">
        <x:v>摄影伦理和接待规则</x:v>
      </x:c>
      <x:c r="K26" s="20" t="str">
        <x:v>https://mzj.cq.gov.cn/sy_218/bmdt/mzyw/t_14233171.html</x:v>
      </x:c>
    </x:row>
    <x:row r="27" ht="52" customHeight="1">
      <x:c r="A27" s="20" t="str">
        <x:v>FV022</x:v>
      </x:c>
      <x:c r="B27" s="20" t="str">
        <x:v>D4B</x:v>
      </x:c>
      <x:c r="C27" s="20" t="str">
        <x:v>黄桷坪—川美周边</x:v>
      </x:c>
      <x:c r="D27" s="20" t="str">
        <x:v>现场+校方</x:v>
      </x:c>
      <x:c r="E27" s="20" t="str">
        <x:v>高</x:v>
      </x:c>
      <x:c r="F27" s="20" t="str">
        <x:v>未开始</x:v>
      </x:c>
      <x:c r="G27" s="20"/>
      <x:c r="H27" s="20"/>
      <x:c r="I27" s="20" t="str">
        <x:v>校园开放、展览、墙面更新、洗手间</x:v>
      </x:c>
      <x:c r="J27" s="20" t="str">
        <x:v>艺术客群模块</x:v>
      </x:c>
      <x:c r="K27" s="20" t="str">
        <x:v>https://mzj.cq.gov.cn/sy_218/bmdt/mzyw/t_14233171.html</x:v>
      </x:c>
    </x:row>
    <x:row r="28" ht="52" customHeight="1">
      <x:c r="A28" s="20" t="str">
        <x:v>FV023</x:v>
      </x:c>
      <x:c r="B28" s="20" t="str">
        <x:v>D4B</x:v>
      </x:c>
      <x:c r="C28" s="20" t="str">
        <x:v>建川博物馆聚落</x:v>
      </x:c>
      <x:c r="D28" s="20" t="str">
        <x:v>完整实走</x:v>
      </x:c>
      <x:c r="E28" s="20" t="str">
        <x:v>高</x:v>
      </x:c>
      <x:c r="F28" s="20" t="str">
        <x:v>未开始</x:v>
      </x:c>
      <x:c r="G28" s="20"/>
      <x:c r="H28" s="20"/>
      <x:c r="I28" s="20" t="str">
        <x:v>票务、英文、洞内温湿度、儿童、台阶</x:v>
      </x:c>
      <x:c r="J28" s="20" t="str">
        <x:v>120/180分钟版本</x:v>
      </x:c>
      <x:c r="K28" s="20" t="str">
        <x:v>https://whlyw.cq.gov.cn/hdjl_221/xzzq/202601/t20260115_15320860.html</x:v>
      </x:c>
    </x:row>
    <x:row r="29" ht="52" customHeight="1">
      <x:c r="A29" s="20" t="str">
        <x:v>FV024</x:v>
      </x:c>
      <x:c r="B29" s="20" t="str">
        <x:v>食物</x:v>
      </x:c>
      <x:c r="C29" s="20" t="str">
        <x:v>小面候选6家</x:v>
      </x:c>
      <x:c r="D29" s="20" t="str">
        <x:v>暗访/点单</x:v>
      </x:c>
      <x:c r="E29" s="20" t="str">
        <x:v>高</x:v>
      </x:c>
      <x:c r="F29" s="20" t="str">
        <x:v>未开始</x:v>
      </x:c>
      <x:c r="G29" s="20"/>
      <x:c r="H29" s="20"/>
      <x:c r="I29" s="20" t="str">
        <x:v>外籍独立点单、辣度、卫生、支付、座位</x:v>
      </x:c>
      <x:c r="J29" s="20" t="str">
        <x:v>住宿区早餐地图</x:v>
      </x:c>
      <x:c r="K29" s="20" t="str">
        <x:v>https://whlyw.cq.gov.cn/zwgk_221/zfgkzcwj/qtwj/202607/t20260709_15810099.html</x:v>
      </x:c>
    </x:row>
    <x:row r="30" ht="52" customHeight="1">
      <x:c r="A30" s="20" t="str">
        <x:v>FV025</x:v>
      </x:c>
      <x:c r="B30" s="20" t="str">
        <x:v>食物</x:v>
      </x:c>
      <x:c r="C30" s="20" t="str">
        <x:v>火锅候选3家</x:v>
      </x:c>
      <x:c r="D30" s="20" t="str">
        <x:v>试吃+访谈</x:v>
      </x:c>
      <x:c r="E30" s="20" t="str">
        <x:v>最高</x:v>
      </x:c>
      <x:c r="F30" s="20" t="str">
        <x:v>未开始</x:v>
      </x:c>
      <x:c r="G30" s="20"/>
      <x:c r="H30" s="20"/>
      <x:c r="I30" s="20" t="str">
        <x:v>英语、过敏、素食、价格、拍摄、取消、安全</x:v>
      </x:c>
      <x:c r="J30" s="20" t="str">
        <x:v>可预约火锅体验SOP</x:v>
      </x:c>
      <x:c r="K30" s="20" t="str">
        <x:v>https://whlyw.cq.gov.cn/zwgk_221/zfgkzcwj/qtwj/202607/t20260709_15810099.html</x:v>
      </x:c>
    </x:row>
    <x:row r="31" ht="52" customHeight="1">
      <x:c r="A31" s="20" t="str">
        <x:v>FV026</x:v>
      </x:c>
      <x:c r="B31" s="20" t="str">
        <x:v>夜间</x:v>
      </x:c>
      <x:c r="C31" s="20" t="str">
        <x:v>川剧/地方演出</x:v>
      </x:c>
      <x:c r="D31" s="20" t="str">
        <x:v>机构访谈</x:v>
      </x:c>
      <x:c r="E31" s="20" t="str">
        <x:v>高</x:v>
      </x:c>
      <x:c r="F31" s="20" t="str">
        <x:v>未开始</x:v>
      </x:c>
      <x:c r="G31" s="20"/>
      <x:c r="H31" s="20"/>
      <x:c r="I31" s="20" t="str">
        <x:v>英语、资历、后台互动、人数、价格、影像权</x:v>
      </x:c>
      <x:c r="J31" s="20" t="str">
        <x:v>雨天/夜间产品模块</x:v>
      </x:c>
      <x:c r="K31" s="20" t="str">
        <x:v>https://whlyw.cq.gov.cn/hdjl_221/xzzq/202601/t20260115_15320860.html</x:v>
      </x:c>
    </x:row>
    <x:row r="32" ht="52" customHeight="1">
      <x:c r="A32" s="20" t="str">
        <x:v>FV027</x:v>
      </x:c>
      <x:c r="B32" s="20" t="str">
        <x:v>通用</x:v>
      </x:c>
      <x:c r="C32" s="20" t="str">
        <x:v>Google/高德/百度坐标对照</x:v>
      </x:c>
      <x:c r="D32" s="20" t="str">
        <x:v>逐点测试</x:v>
      </x:c>
      <x:c r="E32" s="20" t="str">
        <x:v>最高</x:v>
      </x:c>
      <x:c r="F32" s="20" t="str">
        <x:v>未开始</x:v>
      </x:c>
      <x:c r="G32" s="20"/>
      <x:c r="H32" s="20"/>
      <x:c r="I32" s="20" t="str">
        <x:v>中文名、坐标、入口照片、出口、高差</x:v>
      </x:c>
      <x:c r="J32" s="20" t="str">
        <x:v>外国游客导航卡</x:v>
      </x:c>
      <x:c r="K32" s="20" t="str">
        <x:v>https://www.reddit.com/r/travelchina/comments/1t4cdvm/help_planning_chongqing/</x:v>
      </x:c>
    </x:row>
    <x:row r="33" ht="52" customHeight="1">
      <x:c r="A33" s="20" t="str">
        <x:v>FV028</x:v>
      </x:c>
      <x:c r="B33" s="20" t="str">
        <x:v>通用</x:v>
      </x:c>
      <x:c r="C33" s="20" t="str">
        <x:v>低台阶平行路线</x:v>
      </x:c>
      <x:c r="D33" s="20" t="str">
        <x:v>陪同实走</x:v>
      </x:c>
      <x:c r="E33" s="20" t="str">
        <x:v>高</x:v>
      </x:c>
      <x:c r="F33" s="20" t="str">
        <x:v>未开始</x:v>
      </x:c>
      <x:c r="G33" s="20"/>
      <x:c r="H33" s="20"/>
      <x:c r="I33" s="20" t="str">
        <x:v>轮椅/婴儿车、电梯、落客、座椅、厕所</x:v>
      </x:c>
      <x:c r="J33" s="20" t="str">
        <x:v>第二版低体力路线</x:v>
      </x:c>
      <x:c r="K33" s="20" t="str">
        <x:v>https://www.shplanning.com.cn/archive/download/id/487.html</x:v>
      </x:c>
    </x:row>
    <x:row r="34" ht="52" customHeight="1">
      <x:c r="A34" s="20" t="str">
        <x:v>FV029</x:v>
      </x:c>
      <x:c r="B34" s="20" t="str">
        <x:v>住宿</x:v>
      </x:c>
      <x:c r="C34" s="20" t="str">
        <x:v>解放碑/小什字落客</x:v>
      </x:c>
      <x:c r="D34" s="20" t="str">
        <x:v>酒店核验</x:v>
      </x:c>
      <x:c r="E34" s="20" t="str">
        <x:v>高</x:v>
      </x:c>
      <x:c r="F34" s="20" t="str">
        <x:v>未开始</x:v>
      </x:c>
      <x:c r="G34" s="20"/>
      <x:c r="H34" s="20"/>
      <x:c r="I34" s="20" t="str">
        <x:v>行李、车辆、坡度、24小时前台、外卡</x:v>
      </x:c>
      <x:c r="J34" s="20" t="str">
        <x:v>住宿基地区域清单</x:v>
      </x:c>
      <x:c r="K34" s="20" t="str">
        <x:v>https://www.cqyz.gov.cn/bm_229/qwhlyw/zwxx_97154/dt/202606/t20260605_15733979.html</x:v>
      </x:c>
    </x:row>
    <x:row r="35" ht="52" customHeight="1">
      <x:c r="A35" s="21" t="str">
        <x:v>FV030</x:v>
      </x:c>
      <x:c r="B35" s="21" t="str">
        <x:v>全程</x:v>
      </x:c>
      <x:c r="C35" s="21" t="str">
        <x:v>外国游客小样测试</x:v>
      </x:c>
      <x:c r="D35" s="21" t="str">
        <x:v>可用性测试</x:v>
      </x:c>
      <x:c r="E35" s="21" t="str">
        <x:v>最高</x:v>
      </x:c>
      <x:c r="F35" s="21" t="str">
        <x:v>未开始</x:v>
      </x:c>
      <x:c r="G35" s="21"/>
      <x:c r="H35" s="21"/>
      <x:c r="I35" s="21" t="str">
        <x:v>迷路、理解、疲劳、支付、内容记忆</x:v>
      </x:c>
      <x:c r="J35" s="21" t="str">
        <x:v>3—5人测试报告</x:v>
      </x:c>
      <x:c r="K35" s="21" t="str">
        <x:v>https://www.reddit.com/r/travelchina/comments/1v4olqp/thoughts_on_my_chongqing_itinerary/</x:v>
      </x:c>
    </x:row>
  </x:sheetData>
  <x:mergeCells>
    <x:mergeCell ref="A1:K1"/>
    <x:mergeCell ref="A2:K2"/>
  </x:mergeCells>
  <x:conditionalFormatting sqref="F6:F35">
    <x:cfRule type="containsText" dxfId="0" priority="1" operator="containsText" text="通过"/>
    <x:cfRule type="containsText" dxfId="1" priority="2" operator="containsText" text="不通过"/>
  </x:conditionalFormatting>
  <x:dataValidations count="1">
    <x:dataValidation type="list" sqref="F6:F35">
      <x:formula1>"未开始,进行中,通过,不通过,待复核"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19b3e49bbd4ab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1" hidden="0" customWidth="1"/>
    <x:col min="3" max="3" width="28" hidden="0" customWidth="1"/>
    <x:col min="4" max="4" width="11" hidden="0" customWidth="1"/>
    <x:col min="5" max="5" width="25" hidden="0" customWidth="1"/>
    <x:col min="6" max="6" width="18" hidden="0" customWidth="1"/>
    <x:col min="7" max="7" width="46" hidden="0" customWidth="1"/>
    <x:col min="8" max="8" width="43" hidden="0" customWidth="1"/>
    <x:col min="9" max="9" width="13" hidden="0" customWidth="1"/>
  </x:cols>
  <x:sheetData>
    <x:row r="1" ht="32" customHeight="1">
      <x:c r="A1" s="3" t="str">
        <x:v>来源台账｜每条来源只证明它能证明的内容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S1确认事实和运营，S2提供解释框架，S3识别外国游客需求和摩擦。动态信息发布前仍需再次复核。</x:v>
      </x:c>
      <x:c r="B2" s="7"/>
      <x:c r="C2" s="7"/>
      <x:c r="D2" s="7"/>
      <x:c r="E2" s="7"/>
      <x:c r="F2" s="7"/>
      <x:c r="G2" s="7"/>
      <x:c r="H2" s="7"/>
      <x:c r="I2" s="7"/>
    </x:row>
    <x:row r="5" ht="34" customHeight="1">
      <x:c r="A5" s="11" t="str">
        <x:v>来源ID</x:v>
      </x:c>
      <x:c r="B5" s="11" t="str">
        <x:v>来源名称</x:v>
      </x:c>
      <x:c r="C5" s="11" t="str">
        <x:v>来源/机构</x:v>
      </x:c>
      <x:c r="D5" s="11" t="str">
        <x:v>层级</x:v>
      </x:c>
      <x:c r="E5" s="11" t="str">
        <x:v>主要用途</x:v>
      </x:c>
      <x:c r="F5" s="11" t="str">
        <x:v>发布日期/状态</x:v>
      </x:c>
      <x:c r="G5" s="11" t="str">
        <x:v>核心信息</x:v>
      </x:c>
      <x:c r="H5" s="11" t="str">
        <x:v>URL</x:v>
      </x:c>
      <x:c r="I5" s="11" t="str">
        <x:v>广告风险</x:v>
      </x:c>
    </x:row>
    <x:row r="6" ht="53" customHeight="1">
      <x:c r="A6" s="19" t="str">
        <x:v>SRC001</x:v>
      </x:c>
      <x:c r="B6" s="19" t="str">
        <x:v>2025巴蜀文化旅游走廊精品线路</x:v>
      </x:c>
      <x:c r="C6" s="19" t="str">
        <x:v>重庆市政府/市文旅委</x:v>
      </x:c>
      <x:c r="D6" s="19" t="str">
        <x:v>S1</x:v>
      </x:c>
      <x:c r="E6" s="19" t="str">
        <x:v>官方主城线路骨架</x:v>
      </x:c>
      <x:c r="F6" s="19" t="str">
        <x:v>2025-11</x:v>
      </x:c>
      <x:c r="G6" s="19" t="str">
        <x:v>母城记忆、两江四岸、黄葛古道等官方线路节点</x:v>
      </x:c>
      <x:c r="H6" s="19" t="str">
        <x:v>https://www.cq.gov.cn/zwgk/zfxxgkml/zdlyxxgk/ggwh/ly/zxdt/202511/t20251107_15146900.html</x:v>
      </x:c>
      <x:c r="I6" s="19" t="str">
        <x:v>低</x:v>
      </x:c>
    </x:row>
    <x:row r="7" ht="53" customHeight="1">
      <x:c r="A7" s="20" t="str">
        <x:v>SRC002</x:v>
      </x:c>
      <x:c r="B7" s="20" t="str">
        <x:v>2025年度重庆市博物馆名录</x:v>
      </x:c>
      <x:c r="C7" s="20" t="str">
        <x:v>重庆市文物局</x:v>
      </x:c>
      <x:c r="D7" s="20" t="str">
        <x:v>S1</x:v>
      </x:c>
      <x:c r="E7" s="20" t="str">
        <x:v>开放、地址、电话、交通</x:v>
      </x:c>
      <x:c r="F7" s="20" t="str">
        <x:v>2026-01</x:v>
      </x:c>
      <x:c r="G7" s="20" t="str">
        <x:v>152家备案博物馆；主城场馆开放信息</x:v>
      </x:c>
      <x:c r="H7" s="20" t="str">
        <x:v>https://whlyw.cq.gov.cn/hdjl_221/xzzq/202601/t20260115_15320860.html</x:v>
      </x:c>
      <x:c r="I7" s="20" t="str">
        <x:v>低</x:v>
      </x:c>
    </x:row>
    <x:row r="8" ht="53" customHeight="1">
      <x:c r="A8" s="20" t="str">
        <x:v>SRC003</x:v>
      </x:c>
      <x:c r="B8" s="20" t="str">
        <x:v>湖广会馆</x:v>
      </x:c>
      <x:c r="C8" s="20" t="str">
        <x:v>重庆市文化旅游委</x:v>
      </x:c>
      <x:c r="D8" s="20" t="str">
        <x:v>S1</x:v>
      </x:c>
      <x:c r="E8" s="20" t="str">
        <x:v>建筑与移民史</x:v>
      </x:c>
      <x:c r="F8" s="20" t="str">
        <x:v>2024-05</x:v>
      </x:c>
      <x:c r="G8" s="20" t="str">
        <x:v>现存规模最大的古会馆建筑群之一；移民博物馆</x:v>
      </x:c>
      <x:c r="H8" s="20" t="str">
        <x:v>https://whlyw.cq.gov.cn/zjwl/yzq/cqwlzy/zqwwzy/202405/t20240507_13182428.html</x:v>
      </x:c>
      <x:c r="I8" s="20" t="str">
        <x:v>低</x:v>
      </x:c>
    </x:row>
    <x:row r="9" ht="53" customHeight="1">
      <x:c r="A9" s="20" t="str">
        <x:v>SRC004</x:v>
      </x:c>
      <x:c r="B9" s="20" t="str">
        <x:v>重庆古城墙</x:v>
      </x:c>
      <x:c r="C9" s="20" t="str">
        <x:v>重庆市文化旅游委</x:v>
      </x:c>
      <x:c r="D9" s="20" t="str">
        <x:v>S1</x:v>
      </x:c>
      <x:c r="E9" s="20" t="str">
        <x:v>通远门、东水门事实</x:v>
      </x:c>
      <x:c r="F9" s="20" t="str">
        <x:v>2024-05</x:v>
      </x:c>
      <x:c r="G9" s="20" t="str">
        <x:v>现存通远门段与东水门段的形制和保护价值</x:v>
      </x:c>
      <x:c r="H9" s="20" t="str">
        <x:v>https://whlyw.cq.gov.cn/zjwl/yzq/cqwlzy/zqwwzy/202405/t20240507_13182468.html</x:v>
      </x:c>
      <x:c r="I9" s="20" t="str">
        <x:v>低</x:v>
      </x:c>
    </x:row>
    <x:row r="10" ht="53" customHeight="1">
      <x:c r="A10" s="20" t="str">
        <x:v>SRC005</x:v>
      </x:c>
      <x:c r="B10" s="20" t="str">
        <x:v>通远门古城墙步道</x:v>
      </x:c>
      <x:c r="C10" s="20" t="str">
        <x:v>渝中区政府</x:v>
      </x:c>
      <x:c r="D10" s="20" t="str">
        <x:v>S1</x:v>
      </x:c>
      <x:c r="E10" s="20" t="str">
        <x:v>九开八闭与陆路入口</x:v>
      </x:c>
      <x:c r="F10" s="20" t="str">
        <x:v>2026-04</x:v>
      </x:c>
      <x:c r="G10" s="20" t="str">
        <x:v>十七城门；通远门为唯一不面水的开门</x:v>
      </x:c>
      <x:c r="H10" s="20" t="str">
        <x:v>https://www.cqyz.gov.cn/zjyz/lyyz/rmdkd/202202/t20220215_10397616.html</x:v>
      </x:c>
      <x:c r="I10" s="20" t="str">
        <x:v>低</x:v>
      </x:c>
    </x:row>
    <x:row r="11" ht="53" customHeight="1">
      <x:c r="A11" s="20" t="str">
        <x:v>SRC006</x:v>
      </x:c>
      <x:c r="B11" s="20" t="str">
        <x:v>中山四路</x:v>
      </x:c>
      <x:c r="C11" s="20" t="str">
        <x:v>渝中区政府</x:v>
      </x:c>
      <x:c r="D11" s="20" t="str">
        <x:v>S1</x:v>
      </x:c>
      <x:c r="E11" s="20" t="str">
        <x:v>抗战陪都与街区史</x:v>
      </x:c>
      <x:c r="F11" s="20" t="str">
        <x:v>2026-04</x:v>
      </x:c>
      <x:c r="G11" s="20" t="str">
        <x:v>桂园、周公馆、特园等历史遗迹集中</x:v>
      </x:c>
      <x:c r="H11" s="20" t="str">
        <x:v>https://www.cqyz.gov.cn/zjyz/lyyz/rmdkd/202210/t20221005_11164444.html</x:v>
      </x:c>
      <x:c r="I11" s="20" t="str">
        <x:v>低</x:v>
      </x:c>
    </x:row>
    <x:row r="12" ht="53" customHeight="1">
      <x:c r="A12" s="20" t="str">
        <x:v>SRC007</x:v>
      </x:c>
      <x:c r="B12" s="20" t="str">
        <x:v>桂园（张治中公馆旧址）</x:v>
      </x:c>
      <x:c r="C12" s="20" t="str">
        <x:v>渝中区政府</x:v>
      </x:c>
      <x:c r="D12" s="20" t="str">
        <x:v>S1</x:v>
      </x:c>
      <x:c r="E12" s="20" t="str">
        <x:v>重庆谈判</x:v>
      </x:c>
      <x:c r="F12" s="20" t="str">
        <x:v>2026-06</x:v>
      </x:c>
      <x:c r="G12" s="20" t="str">
        <x:v>《双十协定》签字地等历史事实</x:v>
      </x:c>
      <x:c r="H12" s="20" t="str">
        <x:v>https://www.cqyz.gov.cn/zjyz/lyyz/lswh/lsww/202306/t20230625_12089545.html</x:v>
      </x:c>
      <x:c r="I12" s="20" t="str">
        <x:v>低</x:v>
      </x:c>
    </x:row>
    <x:row r="13" ht="53" customHeight="1">
      <x:c r="A13" s="20" t="str">
        <x:v>SRC008</x:v>
      </x:c>
      <x:c r="B13" s="20" t="str">
        <x:v>中共中央南方局旧址（周公馆）</x:v>
      </x:c>
      <x:c r="C13" s="20" t="str">
        <x:v>渝中区政府</x:v>
      </x:c>
      <x:c r="D13" s="20" t="str">
        <x:v>S1</x:v>
      </x:c>
      <x:c r="E13" s="20" t="str">
        <x:v>抗战统一战线</x:v>
      </x:c>
      <x:c r="F13" s="20" t="str">
        <x:v>2026-06</x:v>
      </x:c>
      <x:c r="G13" s="20" t="str">
        <x:v>周公馆的办公、外交与宣传功能</x:v>
      </x:c>
      <x:c r="H13" s="20" t="str">
        <x:v>https://www.cqyz.gov.cn/zjyz/lyyz/lswh/lsww/202210/t20221008_11166811.html</x:v>
      </x:c>
      <x:c r="I13" s="20" t="str">
        <x:v>低</x:v>
      </x:c>
    </x:row>
    <x:row r="14" ht="53" customHeight="1">
      <x:c r="A14" s="20" t="str">
        <x:v>SRC009</x:v>
      </x:c>
      <x:c r="B14" s="20" t="str">
        <x:v>重庆史迪威博物馆名录信息</x:v>
      </x:c>
      <x:c r="C14" s="20" t="str">
        <x:v>重庆市文物局</x:v>
      </x:c>
      <x:c r="D14" s="20" t="str">
        <x:v>S1</x:v>
      </x:c>
      <x:c r="E14" s="20" t="str">
        <x:v>开放、地址、电话</x:v>
      </x:c>
      <x:c r="F14" s="20" t="str">
        <x:v>2025-12</x:v>
      </x:c>
      <x:c r="G14" s="20" t="str">
        <x:v>渝中区嘉陵新路63号；9:00—17:00</x:v>
      </x:c>
      <x:c r="H14" s="20" t="str">
        <x:v>https://whlyw.cq.gov.cn/hdjl_221/xzzq/202601/t20260115_15320860.html</x:v>
      </x:c>
      <x:c r="I14" s="20" t="str">
        <x:v>低</x:v>
      </x:c>
    </x:row>
    <x:row r="15" ht="53" customHeight="1">
      <x:c r="A15" s="20" t="str">
        <x:v>SRC010</x:v>
      </x:c>
      <x:c r="B15" s="20" t="str">
        <x:v>三峡博物馆入馆规则</x:v>
      </x:c>
      <x:c r="C15" s="20" t="str">
        <x:v>重庆中国三峡博物馆</x:v>
      </x:c>
      <x:c r="D15" s="20" t="str">
        <x:v>S1</x:v>
      </x:c>
      <x:c r="E15" s="20" t="str">
        <x:v>证件与预约</x:v>
      </x:c>
      <x:c r="F15" s="20" t="str">
        <x:v>持续更新</x:v>
      </x:c>
      <x:c r="G15" s="20" t="str">
        <x:v>主馆自2025-10起凭有效证件免预约入馆</x:v>
      </x:c>
      <x:c r="H15" s="20" t="str">
        <x:v>https://www.3gmuseum.cn/web/article/1430010139317059584/web/content_1430010139317059584.html</x:v>
      </x:c>
      <x:c r="I15" s="20" t="str">
        <x:v>低</x:v>
      </x:c>
    </x:row>
    <x:row r="16" ht="53" customHeight="1">
      <x:c r="A16" s="20" t="str">
        <x:v>SRC011</x:v>
      </x:c>
      <x:c r="B16" s="20" t="str">
        <x:v>慈云寺—米市街—龙门浩历史文化街区</x:v>
      </x:c>
      <x:c r="C16" s="20" t="str">
        <x:v>重庆市政府</x:v>
      </x:c>
      <x:c r="D16" s="20" t="str">
        <x:v>S1</x:v>
      </x:c>
      <x:c r="E16" s="20" t="str">
        <x:v>开埠、工商业与街区保护</x:v>
      </x:c>
      <x:c r="F16" s="20" t="str">
        <x:v>2025-11</x:v>
      </x:c>
      <x:c r="G16" s="20" t="str">
        <x:v>近现代工商业、抗战与宗教遗存</x:v>
      </x:c>
      <x:c r="H16" s="20" t="str">
        <x:v>https://www.cq.gov.cn/ywdt/zwhd/bmdt/202511/t20251113_15160016.html</x:v>
      </x:c>
      <x:c r="I16" s="20" t="str">
        <x:v>低</x:v>
      </x:c>
    </x:row>
    <x:row r="17" ht="53" customHeight="1">
      <x:c r="A17" s="20" t="str">
        <x:v>SRC012</x:v>
      </x:c>
      <x:c r="B17" s="20" t="str">
        <x:v>重庆城市更新催生文旅场景</x:v>
      </x:c>
      <x:c r="C17" s="20" t="str">
        <x:v>重庆市政府</x:v>
      </x:c>
      <x:c r="D17" s="20" t="str">
        <x:v>S1</x:v>
      </x:c>
      <x:c r="E17" s="20" t="str">
        <x:v>开埠遗址公园、下浩里</x:v>
      </x:c>
      <x:c r="F17" s="20" t="str">
        <x:v>2026-05</x:v>
      </x:c>
      <x:c r="G17" s="20" t="str">
        <x:v>开埠遗址公园和南滨路沿线更新现状</x:v>
      </x:c>
      <x:c r="H17" s="20" t="str">
        <x:v>https://www.cq.gov.cn/ywdt/jrcq/202605/t20260506_15650945.html</x:v>
      </x:c>
      <x:c r="I17" s="20" t="str">
        <x:v>低</x:v>
      </x:c>
    </x:row>
    <x:row r="18" ht="53" customHeight="1">
      <x:c r="A18" s="20" t="str">
        <x:v>SRC013</x:v>
      </x:c>
      <x:c r="B18" s="20" t="str">
        <x:v>李子坝站更新改造</x:v>
      </x:c>
      <x:c r="C18" s="20" t="str">
        <x:v>重庆市政府/轨道运营</x:v>
      </x:c>
      <x:c r="D18" s="20" t="str">
        <x:v>S1</x:v>
      </x:c>
      <x:c r="E18" s="20" t="str">
        <x:v>施工与动线风险</x:v>
      </x:c>
      <x:c r="F18" s="20" t="str">
        <x:v>2026-06</x:v>
      </x:c>
      <x:c r="G18" s="20" t="str">
        <x:v>分区封闭施工；预计2026-12-30完工</x:v>
      </x:c>
      <x:c r="H18" s="20" t="str">
        <x:v>https://www.cq.gov.cn/ywdt/jrcq/202606/t20260613_15751500.html</x:v>
      </x:c>
      <x:c r="I18" s="20" t="str">
        <x:v>低</x:v>
      </x:c>
    </x:row>
    <x:row r="19" ht="53" customHeight="1">
      <x:c r="A19" s="20" t="str">
        <x:v>SRC014</x:v>
      </x:c>
      <x:c r="B19" s="20" t="str">
        <x:v>轨道2号线电梯焕新</x:v>
      </x:c>
      <x:c r="C19" s="20" t="str">
        <x:v>重庆市政府</x:v>
      </x:c>
      <x:c r="D19" s="20" t="str">
        <x:v>S1</x:v>
      </x:c>
      <x:c r="E19" s="20" t="str">
        <x:v>垂直交通与运能</x:v>
      </x:c>
      <x:c r="F19" s="20" t="str">
        <x:v>2026-05</x:v>
      </x:c>
      <x:c r="G19" s="20" t="str">
        <x:v>李子坝站垂直动线、客流与扶梯改造</x:v>
      </x:c>
      <x:c r="H19" s="20" t="str">
        <x:v>https://www.cq.gov.cn/ywdt/jrcq/202605/t20260528_15709853.html</x:v>
      </x:c>
      <x:c r="I19" s="20" t="str">
        <x:v>低</x:v>
      </x:c>
    </x:row>
    <x:row r="20" ht="53" customHeight="1">
      <x:c r="A20" s="20" t="str">
        <x:v>SRC015</x:v>
      </x:c>
      <x:c r="B20" s="20" t="str">
        <x:v>Urban Verticality Shaped by a Vertical Terrain</x:v>
      </x:c>
      <x:c r="C20" s="20" t="str">
        <x:v>Urban Planning / DOAJ</x:v>
      </x:c>
      <x:c r="D20" s="20" t="str">
        <x:v>S2</x:v>
      </x:c>
      <x:c r="E20" s="20" t="str">
        <x:v>立体城市解释框架</x:v>
      </x:c>
      <x:c r="F20" s="20" t="str">
        <x:v>2022</x:v>
      </x:c>
      <x:c r="G20" s="20" t="str">
        <x:v>地形塑造规划、治理和日常经验，不只等于高楼</x:v>
      </x:c>
      <x:c r="H20" s="20" t="str">
        <x:v>https://doi.org/10.17645/up.v7i4.5810</x:v>
      </x:c>
      <x:c r="I20" s="20" t="str">
        <x:v>低</x:v>
      </x:c>
    </x:row>
    <x:row r="21" ht="53" customHeight="1">
      <x:c r="A21" s="20" t="str">
        <x:v>SRC016</x:v>
      </x:c>
      <x:c r="B21" s="20" t="str">
        <x:v>Towards Weird Verticality</x:v>
      </x:c>
      <x:c r="C21" s="20" t="str">
        <x:v>Urban Studies / University of Leeds</x:v>
      </x:c>
      <x:c r="D21" s="20" t="str">
        <x:v>S2</x:v>
      </x:c>
      <x:c r="E21" s="20" t="str">
        <x:v>反赛博朋克叙事</x:v>
      </x:c>
      <x:c r="F21" s="20" t="str">
        <x:v>2024</x:v>
      </x:c>
      <x:c r="G21" s="20" t="str">
        <x:v>外来奇观视角可能遮蔽日常、更新与公共/私人边界</x:v>
      </x:c>
      <x:c r="H21" s="20" t="str">
        <x:v>https://eprints.whiterose.ac.uk/id/eprint/185301/</x:v>
      </x:c>
      <x:c r="I21" s="20" t="str">
        <x:v>低</x:v>
      </x:c>
    </x:row>
    <x:row r="22" ht="53" customHeight="1">
      <x:c r="A22" s="20" t="str">
        <x:v>SRC017</x:v>
      </x:c>
      <x:c r="B22" s="20" t="str">
        <x:v>重庆山城步道适老性研究</x:v>
      </x:c>
      <x:c r="C22" s="20" t="str">
        <x:v>上海城市规划</x:v>
      </x:c>
      <x:c r="D22" s="20" t="str">
        <x:v>S2</x:v>
      </x:c>
      <x:c r="E22" s="20" t="str">
        <x:v>坡度、路径与适老设计</x:v>
      </x:c>
      <x:c r="F22" s="20" t="str">
        <x:v>2020</x:v>
      </x:c>
      <x:c r="G22" s="20" t="str">
        <x:v>步道是交通、商业、休闲与社会交往的复合容器</x:v>
      </x:c>
      <x:c r="H22" s="20" t="str">
        <x:v>https://www.shplanning.com.cn/archive/download/id/487.html</x:v>
      </x:c>
      <x:c r="I22" s="20" t="str">
        <x:v>低</x:v>
      </x:c>
    </x:row>
    <x:row r="23" ht="53" customHeight="1">
      <x:c r="A23" s="20" t="str">
        <x:v>SRC018</x:v>
      </x:c>
      <x:c r="B23" s="20" t="str">
        <x:v>重庆市历史文化名城保护规划</x:v>
      </x:c>
      <x:c r="C23" s="20" t="str">
        <x:v>重庆市规划自然资源局</x:v>
      </x:c>
      <x:c r="D23" s="20" t="str">
        <x:v>S1</x:v>
      </x:c>
      <x:c r="E23" s="20" t="str">
        <x:v>历史城区与保护框架</x:v>
      </x:c>
      <x:c r="F23" s="20" t="str">
        <x:v>2025-07</x:v>
      </x:c>
      <x:c r="G23" s="20" t="str">
        <x:v>两江交汇历史城区、九开八闭格局与山城步道</x:v>
      </x:c>
      <x:c r="H23" s="20" t="str">
        <x:v>https://ghzrzyj.cq.gov.cn/ztlm_186/ghgb/zxgh/202507/P020250716371670706300.pdf</x:v>
      </x:c>
      <x:c r="I23" s="20" t="str">
        <x:v>低</x:v>
      </x:c>
    </x:row>
    <x:row r="24" ht="53" customHeight="1">
      <x:c r="A24" s="20" t="str">
        <x:v>SRC019</x:v>
      </x:c>
      <x:c r="B24" s="20" t="str">
        <x:v>2026无人机灯光秀安排</x:v>
      </x:c>
      <x:c r="C24" s="20" t="str">
        <x:v>重庆市政府</x:v>
      </x:c>
      <x:c r="D24" s="20" t="str">
        <x:v>S1</x:v>
      </x:c>
      <x:c r="E24" s="20" t="str">
        <x:v>时间、观赏区与管制</x:v>
      </x:c>
      <x:c r="F24" s="20" t="str">
        <x:v>2026-05</x:v>
      </x:c>
      <x:c r="G24" s="20" t="str">
        <x:v>朝天门、江北嘴、南滨路可观看；按月复核</x:v>
      </x:c>
      <x:c r="H24" s="20" t="str">
        <x:v>https://www.cq.gov.cn/ywdt/jrcq/202605/t20260531_15716501_app.html</x:v>
      </x:c>
      <x:c r="I24" s="20" t="str">
        <x:v>低</x:v>
      </x:c>
    </x:row>
    <x:row r="25" ht="53" customHeight="1">
      <x:c r="A25" s="20" t="str">
        <x:v>SRC020</x:v>
      </x:c>
      <x:c r="B25" s="20" t="str">
        <x:v>重庆火锅</x:v>
      </x:c>
      <x:c r="C25" s="20" t="str">
        <x:v>重庆市文化旅游委</x:v>
      </x:c>
      <x:c r="D25" s="20" t="str">
        <x:v>S1</x:v>
      </x:c>
      <x:c r="E25" s="20" t="str">
        <x:v>食物文化基础</x:v>
      </x:c>
      <x:c r="F25" s="20" t="str">
        <x:v>2024-11</x:v>
      </x:c>
      <x:c r="G25" s="20" t="str">
        <x:v>火锅的味型、共享性与城市文化符号</x:v>
      </x:c>
      <x:c r="H25" s="20" t="str">
        <x:v>https://whlyw.cq.gov.cn/zjwl/szq/zqms/202411/t20241111_13787035.html</x:v>
      </x:c>
      <x:c r="I25" s="20" t="str">
        <x:v>低</x:v>
      </x:c>
    </x:row>
    <x:row r="26" ht="53" customHeight="1">
      <x:c r="A26" s="20" t="str">
        <x:v>SRC021</x:v>
      </x:c>
      <x:c r="B26" s="20" t="str">
        <x:v>重庆第七批市级非遗名录</x:v>
      </x:c>
      <x:c r="C26" s="20" t="str">
        <x:v>重庆市政府/文旅委</x:v>
      </x:c>
      <x:c r="D26" s="20" t="str">
        <x:v>S1</x:v>
      </x:c>
      <x:c r="E26" s="20" t="str">
        <x:v>火锅及相关习俗</x:v>
      </x:c>
      <x:c r="F26" s="20" t="str">
        <x:v>2026-07</x:v>
      </x:c>
      <x:c r="G26" s="20" t="str">
        <x:v>重庆火锅传统制作技艺及相关习俗入选市级非遗</x:v>
      </x:c>
      <x:c r="H26" s="20" t="str">
        <x:v>https://whlyw.cq.gov.cn/zwgk_221/zfgkzcwj/qtwj/202607/t20260709_15810099.html</x:v>
      </x:c>
      <x:c r="I26" s="20" t="str">
        <x:v>低</x:v>
      </x:c>
    </x:row>
    <x:row r="27" ht="53" customHeight="1">
      <x:c r="A27" s="20" t="str">
        <x:v>SRC022</x:v>
      </x:c>
      <x:c r="B27" s="20" t="str">
        <x:v>黄桷坪地名与交通茶馆</x:v>
      </x:c>
      <x:c r="C27" s="20" t="str">
        <x:v>重庆市民政局</x:v>
      </x:c>
      <x:c r="D27" s="20" t="str">
        <x:v>S1</x:v>
      </x:c>
      <x:c r="E27" s="20" t="str">
        <x:v>艺术社区与茶馆</x:v>
      </x:c>
      <x:c r="F27" s="20" t="str">
        <x:v>2025-01</x:v>
      </x:c>
      <x:c r="G27" s="20" t="str">
        <x:v>黄桷坪、川美、涂鸦和交通茶馆的地方脉络</x:v>
      </x:c>
      <x:c r="H27" s="20" t="str">
        <x:v>https://mzj.cq.gov.cn/sy_218/bmdt/mzyw/t_14233171.html</x:v>
      </x:c>
      <x:c r="I27" s="20" t="str">
        <x:v>低</x:v>
      </x:c>
    </x:row>
    <x:row r="28" ht="53" customHeight="1">
      <x:c r="A28" s="20" t="str">
        <x:v>SRC023</x:v>
      </x:c>
      <x:c r="B28" s="20" t="str">
        <x:v>中心城区旅游休闲街区地图</x:v>
      </x:c>
      <x:c r="C28" s="20" t="str">
        <x:v>重庆市规划自然资源局</x:v>
      </x:c>
      <x:c r="D28" s="20" t="str">
        <x:v>S1</x:v>
      </x:c>
      <x:c r="E28" s="20" t="str">
        <x:v>街区边界与更新类型</x:v>
      </x:c>
      <x:c r="F28" s="20" t="str">
        <x:v>2025-11</x:v>
      </x:c>
      <x:c r="G28" s="20" t="str">
        <x:v>山城巷、十八梯、龙门浩、黄桷坪等空间关系</x:v>
      </x:c>
      <x:c r="H28" s="20" t="str">
        <x:v>https://ghzrzyj.cq.gov.cn/bsfw_186/dtfw/mzyt/202511/t20251124_15184222_wap.html</x:v>
      </x:c>
      <x:c r="I28" s="20" t="str">
        <x:v>低</x:v>
      </x:c>
    </x:row>
    <x:row r="29" ht="53" customHeight="1">
      <x:c r="A29" s="20" t="str">
        <x:v>SRC024</x:v>
      </x:c>
      <x:c r="B29" s="20" t="str">
        <x:v>皇冠大扶梯与索道节假日运营提示</x:v>
      </x:c>
      <x:c r="C29" s="20" t="str">
        <x:v>重庆市政府</x:v>
      </x:c>
      <x:c r="D29" s="20" t="str">
        <x:v>S1</x:v>
      </x:c>
      <x:c r="E29" s="20" t="str">
        <x:v>运营时段与安全</x:v>
      </x:c>
      <x:c r="F29" s="20" t="str">
        <x:v>2025-05</x:v>
      </x:c>
      <x:c r="G29" s="20" t="str">
        <x:v>皇冠大扶梯常态参考时段；索道须以当日公告为准</x:v>
      </x:c>
      <x:c r="H29" s="20" t="str">
        <x:v>https://cq.gov.cn/ywdt/bmts/202505/t20250529_14669045.html</x:v>
      </x:c>
      <x:c r="I29" s="20" t="str">
        <x:v>低</x:v>
      </x:c>
    </x:row>
    <x:row r="30" ht="53" customHeight="1">
      <x:c r="A30" s="20" t="str">
        <x:v>SRC025</x:v>
      </x:c>
      <x:c r="B30" s="20" t="str">
        <x:v>长江索道官方页</x:v>
      </x:c>
      <x:c r="C30" s="20" t="str">
        <x:v>重庆索道运营方</x:v>
      </x:c>
      <x:c r="D30" s="20" t="str">
        <x:v>S1</x:v>
      </x:c>
      <x:c r="E30" s="20" t="str">
        <x:v>票务与运营</x:v>
      </x:c>
      <x:c r="F30" s="20" t="str">
        <x:v>持续更新</x:v>
      </x:c>
      <x:c r="G30" s="20" t="str">
        <x:v>当日运营、停运、排队与票务入口</x:v>
      </x:c>
      <x:c r="H30" s="20" t="str">
        <x:v>https://www.cqsuodao.com/zhangjiangsuodao.html</x:v>
      </x:c>
      <x:c r="I30" s="20" t="str">
        <x:v>低</x:v>
      </x:c>
    </x:row>
    <x:row r="31" ht="53" customHeight="1">
      <x:c r="A31" s="20" t="str">
        <x:v>SRC026</x:v>
      </x:c>
      <x:c r="B31" s="20" t="str">
        <x:v>2026年两江游数据</x:v>
      </x:c>
      <x:c r="C31" s="20" t="str">
        <x:v>重庆市政府</x:v>
      </x:c>
      <x:c r="D31" s="20" t="str">
        <x:v>S1</x:v>
      </x:c>
      <x:c r="E31" s="20" t="str">
        <x:v>市场与运营背景</x:v>
      </x:c>
      <x:c r="F31" s="20" t="str">
        <x:v>2026-03</x:v>
      </x:c>
      <x:c r="G31" s="20" t="str">
        <x:v>2026年1—2月两江游接待74.1万人次</x:v>
      </x:c>
      <x:c r="H31" s="20" t="str">
        <x:v>https://cq.gov.cn/zwgk/zfxxgkml/zdlyxxgk/ggwh/ly/zxdt/202603/t20260304_15487802.html</x:v>
      </x:c>
      <x:c r="I31" s="20" t="str">
        <x:v>低</x:v>
      </x:c>
    </x:row>
    <x:row r="32" ht="53" customHeight="1">
      <x:c r="A32" s="20" t="str">
        <x:v>SRC027</x:v>
      </x:c>
      <x:c r="B32" s="20" t="str">
        <x:v>Reddit：重庆4晚只游主城</x:v>
      </x:c>
      <x:c r="C32" s="20" t="str">
        <x:v>海外游客游记</x:v>
      </x:c>
      <x:c r="D32" s="20" t="str">
        <x:v>S3</x:v>
      </x:c>
      <x:c r="E32" s="20" t="str">
        <x:v>停留行为与取舍</x:v>
      </x:c>
      <x:c r="F32" s="20" t="str">
        <x:v>2025-10</x:v>
      </x:c>
      <x:c r="G32" s="20" t="str">
        <x:v>4晚仍只游主城，说明主城内容容量足</x:v>
      </x:c>
      <x:c r="H32" s="20" t="str">
        <x:v>https://www.reddit.com/r/travelchina/comments/1o74mfa/trip_report_for_chongqing_4_night_stay/</x:v>
      </x:c>
      <x:c r="I32" s="20" t="str">
        <x:v>中</x:v>
      </x:c>
    </x:row>
    <x:row r="33" ht="53" customHeight="1">
      <x:c r="A33" s="20" t="str">
        <x:v>SRC028</x:v>
      </x:c>
      <x:c r="B33" s="20" t="str">
        <x:v>Reddit：重庆行程是否过满</x:v>
      </x:c>
      <x:c r="C33" s="20" t="str">
        <x:v>海外游客讨论</x:v>
      </x:c>
      <x:c r="D33" s="20" t="str">
        <x:v>S3</x:v>
      </x:c>
      <x:c r="E33" s="20" t="str">
        <x:v>坡度、转场与重复点</x:v>
      </x:c>
      <x:c r="F33" s="20" t="str">
        <x:v>2026-07</x:v>
      </x:c>
      <x:c r="G33" s="20" t="str">
        <x:v>通用AI容易低估高差、排队和跨区成本</x:v>
      </x:c>
      <x:c r="H33" s="20" t="str">
        <x:v>https://www.reddit.com/r/travelchina/comments/1v4olqp/thoughts_on_my_chongqing_itinerary/</x:v>
      </x:c>
      <x:c r="I33" s="20" t="str">
        <x:v>中</x:v>
      </x:c>
    </x:row>
    <x:row r="34" ht="53" customHeight="1">
      <x:c r="A34" s="20" t="str">
        <x:v>SRC029</x:v>
      </x:c>
      <x:c r="B34" s="20" t="str">
        <x:v>Reddit：重庆2.5天行程</x:v>
      </x:c>
      <x:c r="C34" s="20" t="str">
        <x:v>海外游客讨论</x:v>
      </x:c>
      <x:c r="D34" s="20" t="str">
        <x:v>S3</x:v>
      </x:c>
      <x:c r="E34" s="20" t="str">
        <x:v>首次游客真实选点</x:v>
      </x:c>
      <x:c r="F34" s="20" t="str">
        <x:v>2026-02</x:v>
      </x:c>
      <x:c r="G34" s="20" t="str">
        <x:v>主城地标、步行、老街与夜景的组合</x:v>
      </x:c>
      <x:c r="H34" s="20" t="str">
        <x:v>https://www.reddit.com/r/travelchina/comments/1qvjkgb/chongqing_25_days_itinerary/</x:v>
      </x:c>
      <x:c r="I34" s="20" t="str">
        <x:v>中</x:v>
      </x:c>
    </x:row>
    <x:row r="35" ht="53" customHeight="1">
      <x:c r="A35" s="20" t="str">
        <x:v>SRC030</x:v>
      </x:c>
      <x:c r="B35" s="20" t="str">
        <x:v>Reddit：AI生成重庆地图出错</x:v>
      </x:c>
      <x:c r="C35" s="20" t="str">
        <x:v>海外游客讨论</x:v>
      </x:c>
      <x:c r="D35" s="20" t="str">
        <x:v>S3</x:v>
      </x:c>
      <x:c r="E35" s="20" t="str">
        <x:v>导航与地图风险</x:v>
      </x:c>
      <x:c r="F35" s="20" t="str">
        <x:v>2026-05</x:v>
      </x:c>
      <x:c r="G35" s="20" t="str">
        <x:v>河流、地点和高差错误；Google地图在中国可能不准</x:v>
      </x:c>
      <x:c r="H35" s="20" t="str">
        <x:v>https://www.reddit.com/r/travelchina/comments/1t4cdvm/help_planning_chongqing/</x:v>
      </x:c>
      <x:c r="I35" s="20" t="str">
        <x:v>中</x:v>
      </x:c>
    </x:row>
    <x:row r="36" ht="53" customHeight="1">
      <x:c r="A36" s="20" t="str">
        <x:v>SRC031</x:v>
      </x:c>
      <x:c r="B36" s="20" t="str">
        <x:v>渝中入境游提质升级</x:v>
      </x:c>
      <x:c r="C36" s="20" t="str">
        <x:v>渝中区文化旅游委</x:v>
      </x:c>
      <x:c r="D36" s="20" t="str">
        <x:v>S1</x:v>
      </x:c>
      <x:c r="E36" s="20" t="str">
        <x:v>多语种服务现状</x:v>
      </x:c>
      <x:c r="F36" s="20" t="str">
        <x:v>2026-06</x:v>
      </x:c>
      <x:c r="G36" s="20" t="str">
        <x:v>多语种服务站、志愿者和护照预约覆盖</x:v>
      </x:c>
      <x:c r="H36" s="20" t="str">
        <x:v>https://www.cqyz.gov.cn/bm_229/qwhlyw/zwxx_97154/dt/202606/t20260605_15733979.html</x:v>
      </x:c>
      <x:c r="I36" s="20" t="str">
        <x:v>低</x:v>
      </x:c>
    </x:row>
    <x:row r="37" ht="53" customHeight="1">
      <x:c r="A37" s="20" t="str">
        <x:v>SRC032</x:v>
      </x:c>
      <x:c r="B37" s="20" t="str">
        <x:v>重庆大轰炸遗址陈列馆名录</x:v>
      </x:c>
      <x:c r="C37" s="20" t="str">
        <x:v>重庆市文物局</x:v>
      </x:c>
      <x:c r="D37" s="20" t="str">
        <x:v>S1</x:v>
      </x:c>
      <x:c r="E37" s="20" t="str">
        <x:v>开放与地址</x:v>
      </x:c>
      <x:c r="F37" s="20" t="str">
        <x:v>2025-12</x:v>
      </x:c>
      <x:c r="G37" s="20" t="str">
        <x:v>较场口磁器街；10:00—17:30</x:v>
      </x:c>
      <x:c r="H37" s="20" t="str">
        <x:v>https://whlyw.cq.gov.cn/zwxx_221/bmdt/tzgg/202601/t20260115_15320690.html</x:v>
      </x:c>
      <x:c r="I37" s="20" t="str">
        <x:v>低</x:v>
      </x:c>
    </x:row>
    <x:row r="38" ht="53" customHeight="1">
      <x:c r="A38" s="20" t="str">
        <x:v>SRC033</x:v>
      </x:c>
      <x:c r="B38" s="20" t="str">
        <x:v>重庆母城历史文脉</x:v>
      </x:c>
      <x:c r="C38" s="20" t="str">
        <x:v>重庆市政府</x:v>
      </x:c>
      <x:c r="D38" s="20" t="str">
        <x:v>S1</x:v>
      </x:c>
      <x:c r="E38" s="20" t="str">
        <x:v>母城时间轴</x:v>
      </x:c>
      <x:c r="F38" s="20" t="str">
        <x:v>2020-09</x:v>
      </x:c>
      <x:c r="G38" s="20" t="str">
        <x:v>江州城、重庆府、抗战大后方与渝中母城</x:v>
      </x:c>
      <x:c r="H38" s="20" t="str">
        <x:v>https://www.cq.gov.cn/ywdt/zwhd/qxdt/202009/t20200907_8628081.html</x:v>
      </x:c>
      <x:c r="I38" s="20" t="str">
        <x:v>低</x:v>
      </x:c>
    </x:row>
    <x:row r="39" ht="53" customHeight="1">
      <x:c r="A39" s="21" t="str">
        <x:v>SRC034</x:v>
      </x:c>
      <x:c r="B39" s="21" t="str">
        <x:v>2025年度博物馆优秀展览</x:v>
      </x:c>
      <x:c r="C39" s="21" t="str">
        <x:v>重庆市政府</x:v>
      </x:c>
      <x:c r="D39" s="21" t="str">
        <x:v>S1</x:v>
      </x:c>
      <x:c r="E39" s="21" t="str">
        <x:v>史迪威/飞虎队展览质量</x:v>
      </x:c>
      <x:c r="F39" s="21" t="str">
        <x:v>2026-05</x:v>
      </x:c>
      <x:c r="G39" s="21" t="str">
        <x:v>史迪威博物馆飞虎队展进入优秀展览名单</x:v>
      </x:c>
      <x:c r="H39" s="21" t="str">
        <x:v>https://www.cq.gov.cn/zwgk/zfxxgkml/zdlyxxgk/ggwh/wh/zxdt/202605/t20260518_15684252.html</x:v>
      </x:c>
      <x:c r="I39" s="21" t="str">
        <x:v>低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4bff7a19c42451a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</x:cols>
  <x:sheetData>
    <x:row r="1" ht="32" customHeight="1">
      <x:c r="A1" s="3" t="str">
        <x:v>参数字典｜所有筛选逻辑可审计</x:v>
      </x:c>
      <x:c r="B1" s="3"/>
      <x:c r="C1" s="3"/>
      <x:c r="D1" s="3"/>
      <x:c r="E1" s="3"/>
      <x:c r="F1" s="3"/>
      <x:c r="G1" s="3"/>
    </x:row>
    <x:row r="2" ht="30" customHeight="1">
      <x:c r="A2" s="7" t="str">
        <x:v>重要权重和字段含义保存在单元格中，不把决策写死在代码或复杂公式里。</x:v>
      </x:c>
      <x:c r="B2" s="7"/>
      <x:c r="C2" s="7"/>
      <x:c r="D2" s="7"/>
      <x:c r="E2" s="7"/>
      <x:c r="F2" s="7"/>
      <x:c r="G2" s="7"/>
    </x:row>
    <x:row r="5" ht="34" customHeight="1">
      <x:c r="A5" s="11" t="str">
        <x:v>字段组</x:v>
      </x:c>
      <x:c r="B5" s="11" t="str">
        <x:v>字段/参数</x:v>
      </x:c>
      <x:c r="C5" s="11" t="str">
        <x:v>定义/用途</x:v>
      </x:c>
      <x:c r="D5" s="11" t="str">
        <x:v>取值1</x:v>
      </x:c>
      <x:c r="E5" s="11" t="str">
        <x:v>取值2</x:v>
      </x:c>
      <x:c r="F5" s="11" t="str">
        <x:v>取值3</x:v>
      </x:c>
      <x:c r="G5" s="11" t="str">
        <x:v>备注</x:v>
      </x:c>
    </x:row>
    <x:row r="6" ht="42" customHeight="1">
      <x:c r="A6" s="19" t="str">
        <x:v>点位内容角色</x:v>
      </x:c>
      <x:c r="B6" s="19" t="str">
        <x:v>引流钩子</x:v>
      </x:c>
      <x:c r="C6" s="19" t="str">
        <x:v>决定游客为什么来重庆</x:v>
      </x:c>
      <x:c r="D6" s="19" t="str"/>
      <x:c r="E6" s="19" t="str"/>
      <x:c r="F6" s="19" t="str"/>
      <x:c r="G6" s="19" t="str"/>
    </x:row>
    <x:row r="7" ht="42" customHeight="1">
      <x:c r="A7" s="20" t="str">
        <x:v>点位内容角色</x:v>
      </x:c>
      <x:c r="B7" s="20" t="str">
        <x:v>核心解释</x:v>
      </x:c>
      <x:c r="C7" s="20" t="str">
        <x:v>回答游客看见的现象为什么发生</x:v>
      </x:c>
      <x:c r="D7" s="20" t="str"/>
      <x:c r="E7" s="20" t="str"/>
      <x:c r="F7" s="20" t="str"/>
      <x:c r="G7" s="20" t="str"/>
    </x:row>
    <x:row r="8" ht="42" customHeight="1">
      <x:c r="A8" s="20" t="str">
        <x:v>点位内容角色</x:v>
      </x:c>
      <x:c r="B8" s="20" t="str">
        <x:v>真实生活</x:v>
      </x:c>
      <x:c r="C8" s="20" t="str">
        <x:v>产生到访后的满意度和真实感</x:v>
      </x:c>
      <x:c r="D8" s="20" t="str"/>
      <x:c r="E8" s="20" t="str"/>
      <x:c r="F8" s="20" t="str"/>
      <x:c r="G8" s="20" t="str"/>
    </x:row>
    <x:row r="9" ht="42" customHeight="1">
      <x:c r="A9" s="20" t="str">
        <x:v>点位内容角色</x:v>
      </x:c>
      <x:c r="B9" s="20" t="str">
        <x:v>付费体验</x:v>
      </x:c>
      <x:c r="C9" s="20" t="str">
        <x:v>需要供应商、预约和履约规则</x:v>
      </x:c>
      <x:c r="D9" s="20" t="str"/>
      <x:c r="E9" s="20" t="str"/>
      <x:c r="F9" s="20" t="str"/>
      <x:c r="G9" s="20" t="str"/>
    </x:row>
    <x:row r="10" ht="42" customHeight="1">
      <x:c r="A10" s="20" t="str">
        <x:v>默认输出级别</x:v>
      </x:c>
      <x:c r="B10" s="20" t="str">
        <x:v>A 必须</x:v>
      </x:c>
      <x:c r="C10" s="20" t="str">
        <x:v>多数相关客群的核心信息</x:v>
      </x:c>
      <x:c r="D10" s="20" t="str"/>
      <x:c r="E10" s="20" t="str"/>
      <x:c r="F10" s="20" t="str"/>
      <x:c r="G10" s="20" t="str"/>
    </x:row>
    <x:row r="11" ht="42" customHeight="1">
      <x:c r="A11" s="20" t="str">
        <x:v>默认输出级别</x:v>
      </x:c>
      <x:c r="B11" s="20" t="str">
        <x:v>B 按兴趣</x:v>
      </x:c>
      <x:c r="C11" s="20" t="str">
        <x:v>画像匹配时输出</x:v>
      </x:c>
      <x:c r="D11" s="20" t="str"/>
      <x:c r="E11" s="20" t="str"/>
      <x:c r="F11" s="20" t="str"/>
      <x:c r="G11" s="20" t="str"/>
    </x:row>
    <x:row r="12" ht="42" customHeight="1">
      <x:c r="A12" s="20" t="str">
        <x:v>默认输出级别</x:v>
      </x:c>
      <x:c r="B12" s="20" t="str">
        <x:v>C 深度补充</x:v>
      </x:c>
      <x:c r="C12" s="20" t="str">
        <x:v>只有深度版或特定问题才输出</x:v>
      </x:c>
      <x:c r="D12" s="20" t="str"/>
      <x:c r="E12" s="20" t="str"/>
      <x:c r="F12" s="20" t="str"/>
      <x:c r="G12" s="20" t="str"/>
    </x:row>
    <x:row r="13" ht="42" customHeight="1">
      <x:c r="A13" s="20" t="str">
        <x:v>默认输出级别</x:v>
      </x:c>
      <x:c r="B13" s="20" t="str">
        <x:v>X 默认不输出</x:v>
      </x:c>
      <x:c r="C13" s="20" t="str">
        <x:v>内部保留，游客端通常删除</x:v>
      </x:c>
      <x:c r="D13" s="20" t="str"/>
      <x:c r="E13" s="20" t="str"/>
      <x:c r="F13" s="20" t="str"/>
      <x:c r="G13" s="20" t="str"/>
    </x:row>
    <x:row r="14" ht="42" customHeight="1">
      <x:c r="A14" s="20" t="str"/>
      <x:c r="B14" s="20"/>
      <x:c r="C14" s="20" t="str"/>
      <x:c r="D14" s="20" t="str"/>
      <x:c r="E14" s="20" t="str"/>
      <x:c r="F14" s="20" t="str"/>
      <x:c r="G14" s="20" t="str"/>
    </x:row>
    <x:row r="15" ht="42" customHeight="1">
      <x:c r="A15" s="20" t="str">
        <x:v>内容优先分权重</x:v>
      </x:c>
      <x:c r="B15" s="20"/>
      <x:c r="C15" s="20" t="str">
        <x:v>用于点位内容库AH列公式</x:v>
      </x:c>
      <x:c r="D15" s="20" t="str"/>
      <x:c r="E15" s="20" t="str"/>
      <x:c r="F15" s="20" t="str"/>
      <x:c r="G15" s="20" t="str"/>
    </x:row>
    <x:row r="16" ht="42" customHeight="1">
      <x:c r="A16" s="20" t="str">
        <x:v>产品研究分</x:v>
      </x:c>
      <x:c r="B16" s="26" t="n">
        <x:v>0.2</x:v>
      </x:c>
      <x:c r="C16" s="20" t="str">
        <x:v>原研究版的产品综合分</x:v>
      </x:c>
      <x:c r="D16" s="20" t="str"/>
      <x:c r="E16" s="20" t="str"/>
      <x:c r="F16" s="20" t="str"/>
      <x:c r="G16" s="20" t="str"/>
    </x:row>
    <x:row r="17" ht="42" customHeight="1">
      <x:c r="A17" s="20" t="str">
        <x:v>证据分</x:v>
      </x:c>
      <x:c r="B17" s="26" t="n">
        <x:v>0.15</x:v>
      </x:c>
      <x:c r="C17" s="20" t="str">
        <x:v>来源权威、交叉验证、时效和现场核验</x:v>
      </x:c>
      <x:c r="D17" s="20" t="str"/>
      <x:c r="E17" s="20" t="str"/>
      <x:c r="F17" s="20" t="str"/>
      <x:c r="G17" s="20" t="str"/>
    </x:row>
    <x:row r="18" ht="42" customHeight="1">
      <x:c r="A18" s="20" t="str">
        <x:v>海外引流力</x:v>
      </x:c>
      <x:c r="B18" s="26" t="n">
        <x:v>0.2</x:v>
      </x:c>
      <x:c r="C18" s="20" t="str">
        <x:v>出发前选择重庆的吸引力</x:v>
      </x:c>
      <x:c r="D18" s="20" t="str"/>
      <x:c r="E18" s="20" t="str"/>
      <x:c r="F18" s="20" t="str"/>
      <x:c r="G18" s="20" t="str"/>
    </x:row>
    <x:row r="19" ht="42" customHeight="1">
      <x:c r="A19" s="20" t="str">
        <x:v>到访满意度</x:v>
      </x:c>
      <x:c r="B19" s="26" t="n">
        <x:v>0.3</x:v>
      </x:c>
      <x:c r="C19" s="20" t="str">
        <x:v>实际体验后的满意度与记忆</x:v>
      </x:c>
      <x:c r="D19" s="20" t="str"/>
      <x:c r="E19" s="20" t="str"/>
      <x:c r="F19" s="20" t="str"/>
      <x:c r="G19" s="20" t="str"/>
    </x:row>
    <x:row r="20" ht="42" customHeight="1">
      <x:c r="A20" s="20" t="str">
        <x:v>付费潜力</x:v>
      </x:c>
      <x:c r="B20" s="26" t="n">
        <x:v>0.15</x:v>
      </x:c>
      <x:c r="C20" s="20" t="str">
        <x:v>是否能转成有履约价值的产品</x:v>
      </x:c>
      <x:c r="D20" s="20" t="str"/>
      <x:c r="E20" s="20" t="str"/>
      <x:c r="F20" s="20" t="str"/>
      <x:c r="G20" s="20" t="str"/>
    </x:row>
    <x:row r="21" ht="42" customHeight="1">
      <x:c r="A21" s="20" t="str"/>
      <x:c r="B21" s="20"/>
      <x:c r="C21" s="20" t="str"/>
      <x:c r="D21" s="20" t="str"/>
      <x:c r="E21" s="20" t="str"/>
      <x:c r="F21" s="20" t="str"/>
      <x:c r="G21" s="20" t="str"/>
    </x:row>
    <x:row r="22" ht="42" customHeight="1">
      <x:c r="A22" s="20" t="str">
        <x:v>匹配计算</x:v>
      </x:c>
      <x:c r="B22" s="20" t="str">
        <x:v>画像分</x:v>
      </x:c>
      <x:c r="C22" s="20" t="str">
        <x:v>路线模块库中对应客群1—5分</x:v>
      </x:c>
      <x:c r="D22" s="20" t="str"/>
      <x:c r="E22" s="20" t="str"/>
      <x:c r="F22" s="20" t="str"/>
      <x:c r="G22" s="20" t="str"/>
    </x:row>
    <x:row r="23" ht="42" customHeight="1">
      <x:c r="A23" s="20" t="str">
        <x:v>匹配计算</x:v>
      </x:c>
      <x:c r="B23" s="20" t="str">
        <x:v>体力修正</x:v>
      </x:c>
      <x:c r="C23" s="20" t="str">
        <x:v>低体力自动降低高体力模块</x:v>
      </x:c>
      <x:c r="D23" s="20" t="str"/>
      <x:c r="E23" s="20" t="str"/>
      <x:c r="F23" s="20" t="str"/>
      <x:c r="G23" s="20" t="str"/>
    </x:row>
    <x:row r="24" ht="42" customHeight="1">
      <x:c r="A24" s="20" t="str">
        <x:v>匹配计算</x:v>
      </x:c>
      <x:c r="B24" s="20" t="str">
        <x:v>天气修正</x:v>
      </x:c>
      <x:c r="C24" s="20" t="str">
        <x:v>雨天/炎热降低不适配模块</x:v>
      </x:c>
      <x:c r="D24" s="20" t="str"/>
      <x:c r="E24" s="20" t="str"/>
      <x:c r="F24" s="20" t="str"/>
      <x:c r="G24" s="20" t="str"/>
    </x:row>
    <x:row r="25" ht="42" customHeight="1">
      <x:c r="A25" s="20" t="str">
        <x:v>匹配计算</x:v>
      </x:c>
      <x:c r="B25" s="20" t="str">
        <x:v>D4修正</x:v>
      </x:c>
      <x:c r="C25" s="20" t="str">
        <x:v>第四天只保留所选路线版本</x:v>
      </x:c>
      <x:c r="D25" s="20" t="str"/>
      <x:c r="E25" s="20" t="str"/>
      <x:c r="F25" s="20" t="str"/>
      <x:c r="G25" s="20" t="str"/>
    </x:row>
    <x:row r="26" ht="42" customHeight="1">
      <x:c r="A26" s="21" t="str">
        <x:v>匹配计算</x:v>
      </x:c>
      <x:c r="B26" s="21" t="str">
        <x:v>日内排名</x:v>
      </x:c>
      <x:c r="C26" s="21" t="str">
        <x:v>每一天独立排名，避免结果全挤在第一天</x:v>
      </x:c>
      <x:c r="D26" s="21" t="str"/>
      <x:c r="E26" s="21" t="str"/>
      <x:c r="F26" s="21" t="str"/>
      <x:c r="G26" s="21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76c935d6ca444ec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9" hidden="0" customWidth="1"/>
    <x:col min="3" max="3" width="25" hidden="0" customWidth="1"/>
    <x:col min="4" max="4" width="18" hidden="0" customWidth="1"/>
    <x:col min="5" max="5" width="10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2" hidden="0" customWidth="1"/>
    <x:col min="11" max="11" width="11" hidden="0" customWidth="1"/>
    <x:col min="12" max="12" width="12" hidden="0" customWidth="1"/>
    <x:col min="13" max="13" width="13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3" hidden="0" customWidth="1"/>
    <x:col min="19" max="19" width="11" hidden="0" customWidth="1"/>
    <x:col min="20" max="20" width="11" hidden="0" customWidth="1"/>
    <x:col min="21" max="21" width="13" hidden="0" customWidth="1"/>
    <x:col min="22" max="22" width="12" hidden="0" customWidth="1"/>
    <x:col min="23" max="23" width="15" hidden="0" customWidth="1"/>
    <x:col min="24" max="24" width="28" hidden="0" customWidth="1"/>
  </x:cols>
  <x:sheetData>
    <x:row r="1" ht="32" customHeight="1">
      <x:c r="A1" s="3" t="str">
        <x:v>匹配计算｜画像只是起点，客户真实需要参与排序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30" customHeight="1">
      <x:c r="A2" s="7" t="str">
        <x:v>先执行体力、天气和天数等硬条件，再把置信度不低于50%的八个潜意图加入排序。该表完整公开分数来源，游客不会看到。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</x:row>
    <x:row r="5" ht="34" customHeight="1">
      <x:c r="A5" s="10" t="str">
        <x:v>模块ID</x:v>
      </x:c>
      <x:c r="B5" s="10" t="str">
        <x:v>默认日</x:v>
      </x:c>
      <x:c r="C5" s="10" t="str">
        <x:v>模块名称</x:v>
      </x:c>
      <x:c r="D5" s="10" t="str">
        <x:v>内容角色</x:v>
      </x:c>
      <x:c r="E5" s="10" t="str">
        <x:v>画像分</x:v>
      </x:c>
      <x:c r="F5" s="10" t="str">
        <x:v>体力修正</x:v>
      </x:c>
      <x:c r="G5" s="10" t="str">
        <x:v>天气修正</x:v>
      </x:c>
      <x:c r="H5" s="10" t="str">
        <x:v>D4修正</x:v>
      </x:c>
      <x:c r="I5" s="10" t="str">
        <x:v>基础分</x:v>
      </x:c>
      <x:c r="J5" s="10" t="str">
        <x:v>匹配分</x:v>
      </x:c>
      <x:c r="K5" s="10" t="str">
        <x:v>日内排名</x:v>
      </x:c>
      <x:c r="L5" s="10" t="str">
        <x:v>检索键</x:v>
      </x:c>
      <x:c r="M5" s="10" t="str">
        <x:v>输出状态</x:v>
      </x:c>
      <x:c r="N5" s="10" t="str">
        <x:v>视觉贡献</x:v>
      </x:c>
      <x:c r="O5" s="10" t="str">
        <x:v>历史贡献</x:v>
      </x:c>
      <x:c r="P5" s="10" t="str">
        <x:v>在地贡献</x:v>
      </x:c>
      <x:c r="Q5" s="10" t="str">
        <x:v>饮食贡献</x:v>
      </x:c>
      <x:c r="R5" s="10" t="str">
        <x:v>低摩擦贡献</x:v>
      </x:c>
      <x:c r="S5" s="10" t="str">
        <x:v>摄影贡献</x:v>
      </x:c>
      <x:c r="T5" s="10" t="str">
        <x:v>亲子贡献</x:v>
      </x:c>
      <x:c r="U5" s="10" t="str">
        <x:v>新鲜感贡献</x:v>
      </x:c>
      <x:c r="V5" s="10" t="str">
        <x:v>潜意图合计</x:v>
      </x:c>
      <x:c r="W5" s="10" t="str">
        <x:v>主匹配意图</x:v>
      </x:c>
      <x:c r="X5" s="10" t="str">
        <x:v>履约状态</x:v>
      </x:c>
    </x:row>
    <x:row r="6" ht="38" customHeight="1">
      <x:c r="A6" s="76" t="str">
        <x:f>'路线模块库'!A6</x:f>
        <x:v>RM01</x:v>
      </x:c>
      <x:c r="B6" s="76" t="str">
        <x:f>'路线模块库'!B6</x:f>
        <x:v>D1</x:v>
      </x:c>
      <x:c r="C6" s="76" t="str">
        <x:f>'路线模块库'!D6</x:f>
        <x:v>城市坐标与宗教夹层</x:v>
      </x:c>
      <x:c r="D6" s="76" t="str">
        <x:f>'路线模块库'!E6</x:f>
        <x:v>核心解释</x:v>
      </x:c>
      <x:c r="E6" s="79" t="n">
        <x:f>IF('游客输出器'!$B$5="首次经典",'路线模块库'!O6,IF('游客输出器'!$B$5="赛博摄影",'路线模块库'!P6,IF('游客输出器'!$B$5="文化历史",'路线模块库'!Q6,IF('游客输出器'!$B$5="美食生活",'路线模块库'!R6,IF('游客输出器'!$B$5="亲子轻松",'路线模块库'!S6,'路线模块库'!T6)))))</x:f>
        <x:v>5</x:v>
      </x:c>
      <x:c r="F6" s="79" t="n">
        <x:f>IF('游客输出器'!$B$6="低",IF('路线模块库'!L6=3,-120,IF(AND('路线模块库'!L6=2,'路线模块库'!K6&gt;120),-30,IF('路线模块库'!L6=2,-15,0))),IF('游客输出器'!$B$6="中",IF('路线模块库'!L6=3,-12,0),0))</x:f>
        <x:v>0</x:v>
      </x:c>
      <x:c r="G6" s="79" t="n">
        <x:f>IF('游客输出器'!$B$7="雨天",('路线模块库'!M6-3)*15,IF('游客输出器'!$B$7="炎热",('路线模块库'!N6-3)*12,0))</x:f>
        <x:v>0</x:v>
      </x:c>
      <x:c r="H6" s="79" t="n">
        <x:f>IF(B6="D4",IF('游客输出器'!$B$4&lt;4,-100,IF('路线模块库'!C6='游客输出器'!$B$8,20,-60)),IF(VALUE(RIGHT(B6,1))&lt;='游客输出器'!$B$4,0,-100))</x:f>
        <x:v>0</x:v>
      </x:c>
      <x:c r="I6" s="79" t="n">
        <x:f>'路线模块库'!V6</x:f>
        <x:v>84</x:v>
      </x:c>
      <x:c r="J6" s="79" t="n">
        <x:f>I6+E6*12+F6+G6+H6+'路线模块库'!U6*3+V6+ROW()/10000</x:f>
        <x:v>137.0006</x:v>
      </x:c>
      <x:c r="K6" s="79" t="n">
        <x:f>COUNTIFS($B$6:$B$29,B6,$J$6:$J$29,"&gt;"&amp;J6)+1</x:f>
        <x:v>4</x:v>
      </x:c>
      <x:c r="L6" s="79" t="str">
        <x:f>B6&amp;"-"&amp;K6</x:f>
        <x:v>D1-4</x:v>
      </x:c>
      <x:c r="M6" s="79" t="str">
        <x:f>IF(AND(K6&lt;='游客输出器'!$B$11,OR(B6&lt;&gt;"D4",'游客输出器'!$B$4=4)),"输出","不输出")</x:f>
        <x:v>不输出</x:v>
      </x:c>
      <x:c r="N6" s="79" t="n">
        <x:f>IF('智能体会话输入'!$C$29&gt;=0.5,ROUND(('路线模块库'!AC6-3)*'智能体会话输入'!$B$29*'智能体会话输入'!$C$29*1.5,0),0)</x:f>
        <x:v>-7</x:v>
      </x:c>
      <x:c r="O6" s="79" t="n">
        <x:f>IF('智能体会话输入'!$C$30&gt;=0.5,ROUND(('路线模块库'!AD6-3)*'智能体会话输入'!$B$30*'智能体会话输入'!$C$30*1.5,0),0)</x:f>
        <x:v>0</x:v>
      </x:c>
      <x:c r="P6" s="79" t="n">
        <x:f>IF('智能体会话输入'!$C$31&gt;=0.5,ROUND(('路线模块库'!AE6-3)*'智能体会话输入'!$B$31*'智能体会话输入'!$C$31*1.5,0),0)</x:f>
        <x:v>-5</x:v>
      </x:c>
      <x:c r="Q6" s="79" t="n">
        <x:f>IF('智能体会话输入'!$C$32&gt;=0.5,ROUND(('路线模块库'!AF6-3)*'智能体会话输入'!$B$32*'智能体会话输入'!$C$32*1.5,0),0)</x:f>
        <x:v>0</x:v>
      </x:c>
      <x:c r="R6" s="79" t="n">
        <x:f>IF('智能体会话输入'!$C$33&gt;=0.5,ROUND(('路线模块库'!AG6-3)*'智能体会话输入'!$B$33*'智能体会话输入'!$C$33*1.5,0),0)</x:f>
        <x:v>6</x:v>
      </x:c>
      <x:c r="S6" s="79" t="n">
        <x:f>IF('智能体会话输入'!$C$34&gt;=0.5,ROUND(('路线模块库'!AH6-3)*'智能体会话输入'!$B$34*'智能体会话输入'!$C$34*1.5,0),0)</x:f>
        <x:v>-5</x:v>
      </x:c>
      <x:c r="T6" s="79" t="n">
        <x:f>IF('智能体会话输入'!$C$35&gt;=0.5,ROUND(('路线模块库'!AI6-3)*'智能体会话输入'!$B$35*'智能体会话输入'!$C$35*1.5,0),0)</x:f>
        <x:v>0</x:v>
      </x:c>
      <x:c r="U6" s="79" t="n">
        <x:f>IF('智能体会话输入'!$C$36&gt;=0.5,ROUND(('路线模块库'!AJ6-3)*'智能体会话输入'!$B$36*'智能体会话输入'!$C$36*1.5,0),0)</x:f>
        <x:v>-5</x:v>
      </x:c>
      <x:c r="V6" s="79" t="n">
        <x:f>SUM(N6:U6)</x:f>
        <x:v>-16</x:v>
      </x:c>
      <x:c r="W6" s="76" t="str">
        <x:f>IF(MAX(N6:U6)&lt;=0,"基础画像",IF(MAX(N6:U6)=N6,"视觉奇观",IF(MAX(N6:U6)=O6,"历史理解",IF(MAX(N6:U6)=P6,"在地生活",IF(MAX(N6:U6)=Q6,"饮食互动",IF(MAX(N6:U6)=R6,"低摩擦",IF(MAX(N6:U6)=S6,"摄影创作",IF(MAX(N6:U6)=T6,"亲子教育","复游新鲜感"))))))))</x:f>
        <x:v>低摩擦</x:v>
      </x:c>
      <x:c r="X6" s="76" t="str">
        <x:f>IF('路线模块库'!AL6="无","可直接输出","需确认："&amp;'路线模块库'!AL6)</x:f>
        <x:v>可直接输出</x:v>
      </x:c>
    </x:row>
    <x:row r="7" ht="38" customHeight="1">
      <x:c r="A7" s="77" t="str">
        <x:f>'路线模块库'!A7</x:f>
        <x:v>RM02</x:v>
      </x:c>
      <x:c r="B7" s="77" t="str">
        <x:f>'路线模块库'!B7</x:f>
        <x:v>D1</x:v>
      </x:c>
      <x:c r="C7" s="77" t="str">
        <x:f>'路线模块库'!D7</x:f>
        <x:v>多重地面实验</x:v>
      </x:c>
      <x:c r="D7" s="77" t="str">
        <x:f>'路线模块库'!E7</x:f>
        <x:v>引流钩子</x:v>
      </x:c>
      <x:c r="E7" s="80" t="n">
        <x:f>IF('游客输出器'!$B$5="首次经典",'路线模块库'!O7,IF('游客输出器'!$B$5="赛博摄影",'路线模块库'!P7,IF('游客输出器'!$B$5="文化历史",'路线模块库'!Q7,IF('游客输出器'!$B$5="美食生活",'路线模块库'!R7,IF('游客输出器'!$B$5="亲子轻松",'路线模块库'!S7,'路线模块库'!T7)))))</x:f>
        <x:v>5</x:v>
      </x:c>
      <x:c r="F7" s="80" t="n">
        <x:f>IF('游客输出器'!$B$6="低",IF('路线模块库'!L7=3,-120,IF(AND('路线模块库'!L7=2,'路线模块库'!K7&gt;120),-30,IF('路线模块库'!L7=2,-15,0))),IF('游客输出器'!$B$6="中",IF('路线模块库'!L7=3,-12,0),0))</x:f>
        <x:v>0</x:v>
      </x:c>
      <x:c r="G7" s="80" t="n">
        <x:f>IF('游客输出器'!$B$7="雨天",('路线模块库'!M7-3)*15,IF('游客输出器'!$B$7="炎热",('路线模块库'!N7-3)*12,0))</x:f>
        <x:v>0</x:v>
      </x:c>
      <x:c r="H7" s="80" t="n">
        <x:f>IF(B7="D4",IF('游客输出器'!$B$4&lt;4,-100,IF('路线模块库'!C7='游客输出器'!$B$8,20,-60)),IF(VALUE(RIGHT(B7,1))&lt;='游客输出器'!$B$4,0,-100))</x:f>
        <x:v>0</x:v>
      </x:c>
      <x:c r="I7" s="80" t="n">
        <x:f>'路线模块库'!V7</x:f>
        <x:v>98</x:v>
      </x:c>
      <x:c r="J7" s="80" t="n">
        <x:f>I7+E7*12+F7+G7+H7+'路线模块库'!U7*3+V7+ROW()/10000</x:f>
        <x:v>191.0007</x:v>
      </x:c>
      <x:c r="K7" s="80" t="n">
        <x:f>COUNTIFS($B$6:$B$29,B7,$J$6:$J$29,"&gt;"&amp;J7)+1</x:f>
        <x:v>1</x:v>
      </x:c>
      <x:c r="L7" s="80" t="str">
        <x:f>B7&amp;"-"&amp;K7</x:f>
        <x:v>D1-1</x:v>
      </x:c>
      <x:c r="M7" s="80" t="str">
        <x:f>IF(AND(K7&lt;='游客输出器'!$B$11,OR(B7&lt;&gt;"D4",'游客输出器'!$B$4=4)),"输出","不输出")</x:f>
        <x:v>输出</x:v>
      </x:c>
      <x:c r="N7" s="80" t="n">
        <x:f>IF('智能体会话输入'!$C$29&gt;=0.5,ROUND(('路线模块库'!AC7-3)*'智能体会话输入'!$B$29*'智能体会话输入'!$C$29*1.5,0),0)</x:f>
        <x:v>14</x:v>
      </x:c>
      <x:c r="O7" s="80" t="n">
        <x:f>IF('智能体会话输入'!$C$30&gt;=0.5,ROUND(('路线模块库'!AD7-3)*'智能体会话输入'!$B$30*'智能体会话输入'!$C$30*1.5,0),0)</x:f>
        <x:v>0</x:v>
      </x:c>
      <x:c r="P7" s="80" t="n">
        <x:f>IF('智能体会话输入'!$C$31&gt;=0.5,ROUND(('路线模块库'!AE7-3)*'智能体会话输入'!$B$31*'智能体会话输入'!$C$31*1.5,0),0)</x:f>
        <x:v>-10</x:v>
      </x:c>
      <x:c r="Q7" s="80" t="n">
        <x:f>IF('智能体会话输入'!$C$32&gt;=0.5,ROUND(('路线模块库'!AF7-3)*'智能体会话输入'!$B$32*'智能体会话输入'!$C$32*1.5,0),0)</x:f>
        <x:v>0</x:v>
      </x:c>
      <x:c r="R7" s="80" t="n">
        <x:f>IF('智能体会话输入'!$C$33&gt;=0.5,ROUND(('路线模块库'!AG7-3)*'智能体会话输入'!$B$33*'智能体会话输入'!$C$33*1.5,0),0)</x:f>
        <x:v>6</x:v>
      </x:c>
      <x:c r="S7" s="80" t="n">
        <x:f>IF('智能体会话输入'!$C$34&gt;=0.5,ROUND(('路线模块库'!AH7-3)*'智能体会话输入'!$B$34*'智能体会话输入'!$C$34*1.5,0),0)</x:f>
        <x:v>11</x:v>
      </x:c>
      <x:c r="T7" s="80" t="n">
        <x:f>IF('智能体会话输入'!$C$35&gt;=0.5,ROUND(('路线模块库'!AI7-3)*'智能体会话输入'!$B$35*'智能体会话输入'!$C$35*1.5,0),0)</x:f>
        <x:v>0</x:v>
      </x:c>
      <x:c r="U7" s="80" t="n">
        <x:f>IF('智能体会话输入'!$C$36&gt;=0.5,ROUND(('路线模块库'!AJ7-3)*'智能体会话输入'!$B$36*'智能体会话输入'!$C$36*1.5,0),0)</x:f>
        <x:v>0</x:v>
      </x:c>
      <x:c r="V7" s="80" t="n">
        <x:f>SUM(N7:U7)</x:f>
        <x:v>21</x:v>
      </x:c>
      <x:c r="W7" s="77" t="str">
        <x:f>IF(MAX(N7:U7)&lt;=0,"基础画像",IF(MAX(N7:U7)=N7,"视觉奇观",IF(MAX(N7:U7)=O7,"历史理解",IF(MAX(N7:U7)=P7,"在地生活",IF(MAX(N7:U7)=Q7,"饮食互动",IF(MAX(N7:U7)=R7,"低摩擦",IF(MAX(N7:U7)=S7,"摄影创作",IF(MAX(N7:U7)=T7,"亲子教育","复游新鲜感"))))))))</x:f>
        <x:v>视觉奇观</x:v>
      </x:c>
      <x:c r="X7" s="77" t="str">
        <x:f>IF('路线模块库'!AL7="无","可直接输出","需确认："&amp;'路线模块库'!AL7)</x:f>
        <x:v>需确认：恐高程度</x:v>
      </x:c>
    </x:row>
    <x:row r="8" ht="38" customHeight="1">
      <x:c r="A8" s="77" t="str">
        <x:f>'路线模块库'!A8</x:f>
        <x:v>RM03</x:v>
      </x:c>
      <x:c r="B8" s="77" t="str">
        <x:f>'路线模块库'!B8</x:f>
        <x:v>D1</x:v>
      </x:c>
      <x:c r="C8" s="77" t="str">
        <x:f>'路线模块库'!D8</x:f>
        <x:v>两江门户</x:v>
      </x:c>
      <x:c r="D8" s="77" t="str">
        <x:f>'路线模块库'!E8</x:f>
        <x:v>核心解释</x:v>
      </x:c>
      <x:c r="E8" s="80" t="n">
        <x:f>IF('游客输出器'!$B$5="首次经典",'路线模块库'!O8,IF('游客输出器'!$B$5="赛博摄影",'路线模块库'!P8,IF('游客输出器'!$B$5="文化历史",'路线模块库'!Q8,IF('游客输出器'!$B$5="美食生活",'路线模块库'!R8,IF('游客输出器'!$B$5="亲子轻松",'路线模块库'!S8,'路线模块库'!T8)))))</x:f>
        <x:v>5</x:v>
      </x:c>
      <x:c r="F8" s="80" t="n">
        <x:f>IF('游客输出器'!$B$6="低",IF('路线模块库'!L8=3,-120,IF(AND('路线模块库'!L8=2,'路线模块库'!K8&gt;120),-30,IF('路线模块库'!L8=2,-15,0))),IF('游客输出器'!$B$6="中",IF('路线模块库'!L8=3,-12,0),0))</x:f>
        <x:v>-15</x:v>
      </x:c>
      <x:c r="G8" s="80" t="n">
        <x:f>IF('游客输出器'!$B$7="雨天",('路线模块库'!M8-3)*15,IF('游客输出器'!$B$7="炎热",('路线模块库'!N8-3)*12,0))</x:f>
        <x:v>0</x:v>
      </x:c>
      <x:c r="H8" s="80" t="n">
        <x:f>IF(B8="D4",IF('游客输出器'!$B$4&lt;4,-100,IF('路线模块库'!C8='游客输出器'!$B$8,20,-60)),IF(VALUE(RIGHT(B8,1))&lt;='游客输出器'!$B$4,0,-100))</x:f>
        <x:v>0</x:v>
      </x:c>
      <x:c r="I8" s="80" t="n">
        <x:f>'路线模块库'!V8</x:f>
        <x:v>92</x:v>
      </x:c>
      <x:c r="J8" s="80" t="n">
        <x:f>I8+E8*12+F8+G8+H8+'路线模块库'!U8*3+V8+ROW()/10000</x:f>
        <x:v>151.0008</x:v>
      </x:c>
      <x:c r="K8" s="80" t="n">
        <x:f>COUNTIFS($B$6:$B$29,B8,$J$6:$J$29,"&gt;"&amp;J8)+1</x:f>
        <x:v>3</x:v>
      </x:c>
      <x:c r="L8" s="80" t="str">
        <x:f>B8&amp;"-"&amp;K8</x:f>
        <x:v>D1-3</x:v>
      </x:c>
      <x:c r="M8" s="80" t="str">
        <x:f>IF(AND(K8&lt;='游客输出器'!$B$11,OR(B8&lt;&gt;"D4",'游客输出器'!$B$4=4)),"输出","不输出")</x:f>
        <x:v>输出</x:v>
      </x:c>
      <x:c r="N8" s="80" t="n">
        <x:f>IF('智能体会话输入'!$C$29&gt;=0.5,ROUND(('路线模块库'!AC8-3)*'智能体会话输入'!$B$29*'智能体会话输入'!$C$29*1.5,0),0)</x:f>
        <x:v>7</x:v>
      </x:c>
      <x:c r="O8" s="80" t="n">
        <x:f>IF('智能体会话输入'!$C$30&gt;=0.5,ROUND(('路线模块库'!AD8-3)*'智能体会话输入'!$B$30*'智能体会话输入'!$C$30*1.5,0),0)</x:f>
        <x:v>0</x:v>
      </x:c>
      <x:c r="P8" s="80" t="n">
        <x:f>IF('智能体会话输入'!$C$31&gt;=0.5,ROUND(('路线模块库'!AE8-3)*'智能体会话输入'!$B$31*'智能体会话输入'!$C$31*1.5,0),0)</x:f>
        <x:v>-5</x:v>
      </x:c>
      <x:c r="Q8" s="80" t="n">
        <x:f>IF('智能体会话输入'!$C$32&gt;=0.5,ROUND(('路线模块库'!AF8-3)*'智能体会话输入'!$B$32*'智能体会话输入'!$C$32*1.5,0),0)</x:f>
        <x:v>0</x:v>
      </x:c>
      <x:c r="R8" s="80" t="n">
        <x:f>IF('智能体会话输入'!$C$33&gt;=0.5,ROUND(('路线模块库'!AG8-3)*'智能体会话输入'!$B$33*'智能体会话输入'!$C$33*1.5,0),0)</x:f>
        <x:v>0</x:v>
      </x:c>
      <x:c r="S8" s="80" t="n">
        <x:f>IF('智能体会话输入'!$C$34&gt;=0.5,ROUND(('路线模块库'!AH8-3)*'智能体会话输入'!$B$34*'智能体会话输入'!$C$34*1.5,0),0)</x:f>
        <x:v>5</x:v>
      </x:c>
      <x:c r="T8" s="80" t="n">
        <x:f>IF('智能体会话输入'!$C$35&gt;=0.5,ROUND(('路线模块库'!AI8-3)*'智能体会话输入'!$B$35*'智能体会话输入'!$C$35*1.5,0),0)</x:f>
        <x:v>0</x:v>
      </x:c>
      <x:c r="U8" s="80" t="n">
        <x:f>IF('智能体会话输入'!$C$36&gt;=0.5,ROUND(('路线模块库'!AJ8-3)*'智能体会话输入'!$B$36*'智能体会话输入'!$C$36*1.5,0),0)</x:f>
        <x:v>-5</x:v>
      </x:c>
      <x:c r="V8" s="80" t="n">
        <x:f>SUM(N8:U8)</x:f>
        <x:v>2</x:v>
      </x:c>
      <x:c r="W8" s="77" t="str">
        <x:f>IF(MAX(N8:U8)&lt;=0,"基础画像",IF(MAX(N8:U8)=N8,"视觉奇观",IF(MAX(N8:U8)=O8,"历史理解",IF(MAX(N8:U8)=P8,"在地生活",IF(MAX(N8:U8)=Q8,"饮食互动",IF(MAX(N8:U8)=R8,"低摩擦",IF(MAX(N8:U8)=S8,"摄影创作",IF(MAX(N8:U8)=T8,"亲子教育","复游新鲜感"))))))))</x:f>
        <x:v>视觉奇观</x:v>
      </x:c>
      <x:c r="X8" s="77" t="str">
        <x:f>IF('路线模块库'!AL8="无","可直接输出","需确认："&amp;'路线模块库'!AL8)</x:f>
        <x:v>需确认：步行与江岸可达性</x:v>
      </x:c>
    </x:row>
    <x:row r="9" ht="38" customHeight="1">
      <x:c r="A9" s="77" t="str">
        <x:f>'路线模块库'!A9</x:f>
        <x:v>RM04</x:v>
      </x:c>
      <x:c r="B9" s="77" t="str">
        <x:f>'路线模块库'!B9</x:f>
        <x:v>D1</x:v>
      </x:c>
      <x:c r="C9" s="77" t="str">
        <x:f>'路线模块库'!D9</x:f>
        <x:v>夜景读图：不挤进洪崖洞</x:v>
      </x:c>
      <x:c r="D9" s="77" t="str">
        <x:f>'路线模块库'!E9</x:f>
        <x:v>引流钩子</x:v>
      </x:c>
      <x:c r="E9" s="80" t="n">
        <x:f>IF('游客输出器'!$B$5="首次经典",'路线模块库'!O9,IF('游客输出器'!$B$5="赛博摄影",'路线模块库'!P9,IF('游客输出器'!$B$5="文化历史",'路线模块库'!Q9,IF('游客输出器'!$B$5="美食生活",'路线模块库'!R9,IF('游客输出器'!$B$5="亲子轻松",'路线模块库'!S9,'路线模块库'!T9)))))</x:f>
        <x:v>5</x:v>
      </x:c>
      <x:c r="F9" s="80" t="n">
        <x:f>IF('游客输出器'!$B$6="低",IF('路线模块库'!L9=3,-120,IF(AND('路线模块库'!L9=2,'路线模块库'!K9&gt;120),-30,IF('路线模块库'!L9=2,-15,0))),IF('游客输出器'!$B$6="中",IF('路线模块库'!L9=3,-12,0),0))</x:f>
        <x:v>-30</x:v>
      </x:c>
      <x:c r="G9" s="80" t="n">
        <x:f>IF('游客输出器'!$B$7="雨天",('路线模块库'!M9-3)*15,IF('游客输出器'!$B$7="炎热",('路线模块库'!N9-3)*12,0))</x:f>
        <x:v>0</x:v>
      </x:c>
      <x:c r="H9" s="80" t="n">
        <x:f>IF(B9="D4",IF('游客输出器'!$B$4&lt;4,-100,IF('路线模块库'!C9='游客输出器'!$B$8,20,-60)),IF(VALUE(RIGHT(B9,1))&lt;='游客输出器'!$B$4,0,-100))</x:f>
        <x:v>0</x:v>
      </x:c>
      <x:c r="I9" s="80" t="n">
        <x:f>'路线模块库'!V9</x:f>
        <x:v>100</x:v>
      </x:c>
      <x:c r="J9" s="80" t="n">
        <x:f>I9+E9*12+F9+G9+H9+'路线模块库'!U9*3+V9+ROW()/10000</x:f>
        <x:v>155.0009</x:v>
      </x:c>
      <x:c r="K9" s="80" t="n">
        <x:f>COUNTIFS($B$6:$B$29,B9,$J$6:$J$29,"&gt;"&amp;J9)+1</x:f>
        <x:v>2</x:v>
      </x:c>
      <x:c r="L9" s="80" t="str">
        <x:f>B9&amp;"-"&amp;K9</x:f>
        <x:v>D1-2</x:v>
      </x:c>
      <x:c r="M9" s="80" t="str">
        <x:f>IF(AND(K9&lt;='游客输出器'!$B$11,OR(B9&lt;&gt;"D4",'游客输出器'!$B$4=4)),"输出","不输出")</x:f>
        <x:v>输出</x:v>
      </x:c>
      <x:c r="N9" s="80" t="n">
        <x:f>IF('智能体会话输入'!$C$29&gt;=0.5,ROUND(('路线模块库'!AC9-3)*'智能体会话输入'!$B$29*'智能体会话输入'!$C$29*1.5,0),0)</x:f>
        <x:v>14</x:v>
      </x:c>
      <x:c r="O9" s="80" t="n">
        <x:f>IF('智能体会话输入'!$C$30&gt;=0.5,ROUND(('路线模块库'!AD9-3)*'智能体会话输入'!$B$30*'智能体会话输入'!$C$30*1.5,0),0)</x:f>
        <x:v>0</x:v>
      </x:c>
      <x:c r="P9" s="80" t="n">
        <x:f>IF('智能体会话输入'!$C$31&gt;=0.5,ROUND(('路线模块库'!AE9-3)*'智能体会话输入'!$B$31*'智能体会话输入'!$C$31*1.5,0),0)</x:f>
        <x:v>-10</x:v>
      </x:c>
      <x:c r="Q9" s="80" t="n">
        <x:f>IF('智能体会话输入'!$C$32&gt;=0.5,ROUND(('路线模块库'!AF9-3)*'智能体会话输入'!$B$32*'智能体会话输入'!$C$32*1.5,0),0)</x:f>
        <x:v>0</x:v>
      </x:c>
      <x:c r="R9" s="80" t="n">
        <x:f>IF('智能体会话输入'!$C$33&gt;=0.5,ROUND(('路线模块库'!AG9-3)*'智能体会话输入'!$B$33*'智能体会话输入'!$C$33*1.5,0),0)</x:f>
        <x:v>0</x:v>
      </x:c>
      <x:c r="S9" s="80" t="n">
        <x:f>IF('智能体会话输入'!$C$34&gt;=0.5,ROUND(('路线模块库'!AH9-3)*'智能体会话输入'!$B$34*'智能体会话输入'!$C$34*1.5,0),0)</x:f>
        <x:v>11</x:v>
      </x:c>
      <x:c r="T9" s="80" t="n">
        <x:f>IF('智能体会话输入'!$C$35&gt;=0.5,ROUND(('路线模块库'!AI9-3)*'智能体会话输入'!$B$35*'智能体会话输入'!$C$35*1.5,0),0)</x:f>
        <x:v>0</x:v>
      </x:c>
      <x:c r="U9" s="80" t="n">
        <x:f>IF('智能体会话输入'!$C$36&gt;=0.5,ROUND(('路线模块库'!AJ9-3)*'智能体会话输入'!$B$36*'智能体会话输入'!$C$36*1.5,0),0)</x:f>
        <x:v>-5</x:v>
      </x:c>
      <x:c r="V9" s="80" t="n">
        <x:f>SUM(N9:U9)</x:f>
        <x:v>10</x:v>
      </x:c>
      <x:c r="W9" s="77" t="str">
        <x:f>IF(MAX(N9:U9)&lt;=0,"基础画像",IF(MAX(N9:U9)=N9,"视觉奇观",IF(MAX(N9:U9)=O9,"历史理解",IF(MAX(N9:U9)=P9,"在地生活",IF(MAX(N9:U9)=Q9,"饮食互动",IF(MAX(N9:U9)=R9,"低摩擦",IF(MAX(N9:U9)=S9,"摄影创作",IF(MAX(N9:U9)=T9,"亲子教育","复游新鲜感"))))))))</x:f>
        <x:v>视觉奇观</x:v>
      </x:c>
      <x:c r="X9" s="77" t="str">
        <x:f>IF('路线模块库'!AL9="无","可直接输出","需确认："&amp;'路线模块库'!AL9)</x:f>
        <x:v>需确认：夜间结束时间|是否接受人流</x:v>
      </x:c>
    </x:row>
    <x:row r="10" ht="38" customHeight="1">
      <x:c r="A10" s="77" t="str">
        <x:f>'路线模块库'!A10</x:f>
        <x:v>RM05</x:v>
      </x:c>
      <x:c r="B10" s="77" t="str">
        <x:f>'路线模块库'!B10</x:f>
        <x:v>D1</x:v>
      </x:c>
      <x:c r="C10" s="77" t="str">
        <x:f>'路线模块库'!D10</x:f>
        <x:v>索道或两江游低体力替代</x:v>
      </x:c>
      <x:c r="D10" s="77" t="str">
        <x:f>'路线模块库'!E10</x:f>
        <x:v>条件体验</x:v>
      </x:c>
      <x:c r="E10" s="80" t="n">
        <x:f>IF('游客输出器'!$B$5="首次经典",'路线模块库'!O10,IF('游客输出器'!$B$5="赛博摄影",'路线模块库'!P10,IF('游客输出器'!$B$5="文化历史",'路线模块库'!Q10,IF('游客输出器'!$B$5="美食生活",'路线模块库'!R10,IF('游客输出器'!$B$5="亲子轻松",'路线模块库'!S10,'路线模块库'!T10)))))</x:f>
        <x:v>3</x:v>
      </x:c>
      <x:c r="F10" s="80" t="n">
        <x:f>IF('游客输出器'!$B$6="低",IF('路线模块库'!L10=3,-120,IF(AND('路线模块库'!L10=2,'路线模块库'!K10&gt;120),-30,IF('路线模块库'!L10=2,-15,0))),IF('游客输出器'!$B$6="中",IF('路线模块库'!L10=3,-12,0),0))</x:f>
        <x:v>0</x:v>
      </x:c>
      <x:c r="G10" s="80" t="n">
        <x:f>IF('游客输出器'!$B$7="雨天",('路线模块库'!M10-3)*15,IF('游客输出器'!$B$7="炎热",('路线模块库'!N10-3)*12,0))</x:f>
        <x:v>0</x:v>
      </x:c>
      <x:c r="H10" s="80" t="n">
        <x:f>IF(B10="D4",IF('游客输出器'!$B$4&lt;4,-100,IF('路线模块库'!C10='游客输出器'!$B$8,20,-60)),IF(VALUE(RIGHT(B10,1))&lt;='游客输出器'!$B$4,0,-100))</x:f>
        <x:v>0</x:v>
      </x:c>
      <x:c r="I10" s="80" t="n">
        <x:f>'路线模块库'!V10</x:f>
        <x:v>58</x:v>
      </x:c>
      <x:c r="J10" s="80" t="n">
        <x:f>I10+E10*12+F10+G10+H10+'路线模块库'!U10*3+V10+ROW()/10000</x:f>
        <x:v>109.001</x:v>
      </x:c>
      <x:c r="K10" s="80" t="n">
        <x:f>COUNTIFS($B$6:$B$29,B10,$J$6:$J$29,"&gt;"&amp;J10)+1</x:f>
        <x:v>5</x:v>
      </x:c>
      <x:c r="L10" s="80" t="str">
        <x:f>B10&amp;"-"&amp;K10</x:f>
        <x:v>D1-5</x:v>
      </x:c>
      <x:c r="M10" s="80" t="str">
        <x:f>IF(AND(K10&lt;='游客输出器'!$B$11,OR(B10&lt;&gt;"D4",'游客输出器'!$B$4=4)),"输出","不输出")</x:f>
        <x:v>不输出</x:v>
      </x:c>
      <x:c r="N10" s="80" t="n">
        <x:f>IF('智能体会话输入'!$C$29&gt;=0.5,ROUND(('路线模块库'!AC10-3)*'智能体会话输入'!$B$29*'智能体会话输入'!$C$29*1.5,0),0)</x:f>
        <x:v>7</x:v>
      </x:c>
      <x:c r="O10" s="80" t="n">
        <x:f>IF('智能体会话输入'!$C$30&gt;=0.5,ROUND(('路线模块库'!AD10-3)*'智能体会话输入'!$B$30*'智能体会话输入'!$C$30*1.5,0),0)</x:f>
        <x:v>0</x:v>
      </x:c>
      <x:c r="P10" s="80" t="n">
        <x:f>IF('智能体会话输入'!$C$31&gt;=0.5,ROUND(('路线模块库'!AE10-3)*'智能体会话输入'!$B$31*'智能体会话输入'!$C$31*1.5,0),0)</x:f>
        <x:v>-10</x:v>
      </x:c>
      <x:c r="Q10" s="80" t="n">
        <x:f>IF('智能体会话输入'!$C$32&gt;=0.5,ROUND(('路线模块库'!AF10-3)*'智能体会话输入'!$B$32*'智能体会话输入'!$C$32*1.5,0),0)</x:f>
        <x:v>0</x:v>
      </x:c>
      <x:c r="R10" s="80" t="n">
        <x:f>IF('智能体会话输入'!$C$33&gt;=0.5,ROUND(('路线模块库'!AG10-3)*'智能体会话输入'!$B$33*'智能体会话输入'!$C$33*1.5,0),0)</x:f>
        <x:v>11</x:v>
      </x:c>
      <x:c r="S10" s="80" t="n">
        <x:f>IF('智能体会话输入'!$C$34&gt;=0.5,ROUND(('路线模块库'!AH10-3)*'智能体会话输入'!$B$34*'智能体会话输入'!$C$34*1.5,0),0)</x:f>
        <x:v>5</x:v>
      </x:c>
      <x:c r="T10" s="80" t="n">
        <x:f>IF('智能体会话输入'!$C$35&gt;=0.5,ROUND(('路线模块库'!AI10-3)*'智能体会话输入'!$B$35*'智能体会话输入'!$C$35*1.5,0),0)</x:f>
        <x:v>0</x:v>
      </x:c>
      <x:c r="U10" s="80" t="n">
        <x:f>IF('智能体会话输入'!$C$36&gt;=0.5,ROUND(('路线模块库'!AJ10-3)*'智能体会话输入'!$B$36*'智能体会话输入'!$C$36*1.5,0),0)</x:f>
        <x:v>-10</x:v>
      </x:c>
      <x:c r="V10" s="80" t="n">
        <x:f>SUM(N10:U10)</x:f>
        <x:v>3</x:v>
      </x:c>
      <x:c r="W10" s="77" t="str">
        <x:f>IF(MAX(N10:U10)&lt;=0,"基础画像",IF(MAX(N10:U10)=N10,"视觉奇观",IF(MAX(N10:U10)=O10,"历史理解",IF(MAX(N10:U10)=P10,"在地生活",IF(MAX(N10:U10)=Q10,"饮食互动",IF(MAX(N10:U10)=R10,"低摩擦",IF(MAX(N10:U10)=S10,"摄影创作",IF(MAX(N10:U10)=T10,"亲子教育","复游新鲜感"))))))))</x:f>
        <x:v>低摩擦</x:v>
      </x:c>
      <x:c r="X10" s="77" t="str">
        <x:f>IF('路线模块库'!AL10="无","可直接输出","需确认："&amp;'路线模块库'!AL10)</x:f>
        <x:v>需确认：排队容忍度|恐高</x:v>
      </x:c>
    </x:row>
    <x:row r="11" ht="38" customHeight="1">
      <x:c r="A11" s="77" t="str">
        <x:f>'路线模块库'!A11</x:f>
        <x:v>RM06</x:v>
      </x:c>
      <x:c r="B11" s="77" t="str">
        <x:f>'路线模块库'!B11</x:f>
        <x:v>D1</x:v>
      </x:c>
      <x:c r="C11" s="77" t="str">
        <x:f>'路线模块库'!D11</x:f>
        <x:v>本地年轻夜生活</x:v>
      </x:c>
      <x:c r="D11" s="77" t="str">
        <x:f>'路线模块库'!E11</x:f>
        <x:v>真实生活</x:v>
      </x:c>
      <x:c r="E11" s="80" t="n">
        <x:f>IF('游客输出器'!$B$5="首次经典",'路线模块库'!O11,IF('游客输出器'!$B$5="赛博摄影",'路线模块库'!P11,IF('游客输出器'!$B$5="文化历史",'路线模块库'!Q11,IF('游客输出器'!$B$5="美食生活",'路线模块库'!R11,IF('游客输出器'!$B$5="亲子轻松",'路线模块库'!S11,'路线模块库'!T11)))))</x:f>
        <x:v>2</x:v>
      </x:c>
      <x:c r="F11" s="80" t="n">
        <x:f>IF('游客输出器'!$B$6="低",IF('路线模块库'!L11=3,-120,IF(AND('路线模块库'!L11=2,'路线模块库'!K11&gt;120),-30,IF('路线模块库'!L11=2,-15,0))),IF('游客输出器'!$B$6="中",IF('路线模块库'!L11=3,-12,0),0))</x:f>
        <x:v>0</x:v>
      </x:c>
      <x:c r="G11" s="80" t="n">
        <x:f>IF('游客输出器'!$B$7="雨天",('路线模块库'!M11-3)*15,IF('游客输出器'!$B$7="炎热",('路线模块库'!N11-3)*12,0))</x:f>
        <x:v>0</x:v>
      </x:c>
      <x:c r="H11" s="80" t="n">
        <x:f>IF(B11="D4",IF('游客输出器'!$B$4&lt;4,-100,IF('路线模块库'!C11='游客输出器'!$B$8,20,-60)),IF(VALUE(RIGHT(B11,1))&lt;='游客输出器'!$B$4,0,-100))</x:f>
        <x:v>0</x:v>
      </x:c>
      <x:c r="I11" s="80" t="n">
        <x:f>'路线模块库'!V11</x:f>
        <x:v>52</x:v>
      </x:c>
      <x:c r="J11" s="80" t="n">
        <x:f>I11+E11*12+F11+G11+H11+'路线模块库'!U11*3+V11+ROW()/10000</x:f>
        <x:v>104.0011</x:v>
      </x:c>
      <x:c r="K11" s="80" t="n">
        <x:f>COUNTIFS($B$6:$B$29,B11,$J$6:$J$29,"&gt;"&amp;J11)+1</x:f>
        <x:v>6</x:v>
      </x:c>
      <x:c r="L11" s="80" t="str">
        <x:f>B11&amp;"-"&amp;K11</x:f>
        <x:v>D1-6</x:v>
      </x:c>
      <x:c r="M11" s="80" t="str">
        <x:f>IF(AND(K11&lt;='游客输出器'!$B$11,OR(B11&lt;&gt;"D4",'游客输出器'!$B$4=4)),"输出","不输出")</x:f>
        <x:v>不输出</x:v>
      </x:c>
      <x:c r="N11" s="80" t="n">
        <x:f>IF('智能体会话输入'!$C$29&gt;=0.5,ROUND(('路线模块库'!AC11-3)*'智能体会话输入'!$B$29*'智能体会话输入'!$C$29*1.5,0),0)</x:f>
        <x:v>-7</x:v>
      </x:c>
      <x:c r="O11" s="80" t="n">
        <x:f>IF('智能体会话输入'!$C$30&gt;=0.5,ROUND(('路线模块库'!AD11-3)*'智能体会话输入'!$B$30*'智能体会话输入'!$C$30*1.5,0),0)</x:f>
        <x:v>0</x:v>
      </x:c>
      <x:c r="P11" s="80" t="n">
        <x:f>IF('智能体会话输入'!$C$31&gt;=0.5,ROUND(('路线模块库'!AE11-3)*'智能体会话输入'!$B$31*'智能体会话输入'!$C$31*1.5,0),0)</x:f>
        <x:v>10</x:v>
      </x:c>
      <x:c r="Q11" s="80" t="n">
        <x:f>IF('智能体会话输入'!$C$32&gt;=0.5,ROUND(('路线模块库'!AF11-3)*'智能体会话输入'!$B$32*'智能体会话输入'!$C$32*1.5,0),0)</x:f>
        <x:v>0</x:v>
      </x:c>
      <x:c r="R11" s="80" t="n">
        <x:f>IF('智能体会话输入'!$C$33&gt;=0.5,ROUND(('路线模块库'!AG11-3)*'智能体会话输入'!$B$33*'智能体会话输入'!$C$33*1.5,0),0)</x:f>
        <x:v>6</x:v>
      </x:c>
      <x:c r="S11" s="80" t="n">
        <x:f>IF('智能体会话输入'!$C$34&gt;=0.5,ROUND(('路线模块库'!AH11-3)*'智能体会话输入'!$B$34*'智能体会话输入'!$C$34*1.5,0),0)</x:f>
        <x:v>0</x:v>
      </x:c>
      <x:c r="T11" s="80" t="n">
        <x:f>IF('智能体会话输入'!$C$35&gt;=0.5,ROUND(('路线模块库'!AI11-3)*'智能体会话输入'!$B$35*'智能体会话输入'!$C$35*1.5,0),0)</x:f>
        <x:v>0</x:v>
      </x:c>
      <x:c r="U11" s="80" t="n">
        <x:f>IF('智能体会话输入'!$C$36&gt;=0.5,ROUND(('路线模块库'!AJ11-3)*'智能体会话输入'!$B$36*'智能体会话输入'!$C$36*1.5,0),0)</x:f>
        <x:v>10</x:v>
      </x:c>
      <x:c r="V11" s="80" t="n">
        <x:f>SUM(N11:U11)</x:f>
        <x:v>19</x:v>
      </x:c>
      <x:c r="W11" s="77" t="str">
        <x:f>IF(MAX(N11:U11)&lt;=0,"基础画像",IF(MAX(N11:U11)=N11,"视觉奇观",IF(MAX(N11:U11)=O11,"历史理解",IF(MAX(N11:U11)=P11,"在地生活",IF(MAX(N11:U11)=Q11,"饮食互动",IF(MAX(N11:U11)=R11,"低摩擦",IF(MAX(N11:U11)=S11,"摄影创作",IF(MAX(N11:U11)=T11,"亲子教育","复游新鲜感"))))))))</x:f>
        <x:v>在地生活</x:v>
      </x:c>
      <x:c r="X11" s="77" t="str">
        <x:f>IF('路线模块库'!AL11="无","可直接输出","需确认："&amp;'路线模块库'!AL11)</x:f>
        <x:v>需确认：夜间安全边界|饮酒偏好</x:v>
      </x:c>
    </x:row>
    <x:row r="12" ht="38" customHeight="1">
      <x:c r="A12" s="77" t="str">
        <x:f>'路线模块库'!A12</x:f>
        <x:v>RM07</x:v>
      </x:c>
      <x:c r="B12" s="77" t="str">
        <x:f>'路线模块库'!B12</x:f>
        <x:v>D2</x:v>
      </x:c>
      <x:c r="C12" s="77" t="str">
        <x:f>'路线模块库'!D12</x:f>
        <x:v>移民母城与水路城门</x:v>
      </x:c>
      <x:c r="D12" s="77" t="str">
        <x:f>'路线模块库'!E12</x:f>
        <x:v>核心解释</x:v>
      </x:c>
      <x:c r="E12" s="80" t="n">
        <x:f>IF('游客输出器'!$B$5="首次经典",'路线模块库'!O12,IF('游客输出器'!$B$5="赛博摄影",'路线模块库'!P12,IF('游客输出器'!$B$5="文化历史",'路线模块库'!Q12,IF('游客输出器'!$B$5="美食生活",'路线模块库'!R12,IF('游客输出器'!$B$5="亲子轻松",'路线模块库'!S12,'路线模块库'!T12)))))</x:f>
        <x:v>5</x:v>
      </x:c>
      <x:c r="F12" s="80" t="n">
        <x:f>IF('游客输出器'!$B$6="低",IF('路线模块库'!L12=3,-120,IF(AND('路线模块库'!L12=2,'路线模块库'!K12&gt;120),-30,IF('路线模块库'!L12=2,-15,0))),IF('游客输出器'!$B$6="中",IF('路线模块库'!L12=3,-12,0),0))</x:f>
        <x:v>-30</x:v>
      </x:c>
      <x:c r="G12" s="80" t="n">
        <x:f>IF('游客输出器'!$B$7="雨天",('路线模块库'!M12-3)*15,IF('游客输出器'!$B$7="炎热",('路线模块库'!N12-3)*12,0))</x:f>
        <x:v>0</x:v>
      </x:c>
      <x:c r="H12" s="80" t="n">
        <x:f>IF(B12="D4",IF('游客输出器'!$B$4&lt;4,-100,IF('路线模块库'!C12='游客输出器'!$B$8,20,-60)),IF(VALUE(RIGHT(B12,1))&lt;='游客输出器'!$B$4,0,-100))</x:f>
        <x:v>0</x:v>
      </x:c>
      <x:c r="I12" s="80" t="n">
        <x:f>'路线模块库'!V12</x:f>
        <x:v>96</x:v>
      </x:c>
      <x:c r="J12" s="80" t="n">
        <x:f>I12+E12*12+F12+G12+H12+'路线模块库'!U12*3+V12+ROW()/10000</x:f>
        <x:v>146.0012</x:v>
      </x:c>
      <x:c r="K12" s="80" t="n">
        <x:f>COUNTIFS($B$6:$B$29,B12,$J$6:$J$29,"&gt;"&amp;J12)+1</x:f>
        <x:v>2</x:v>
      </x:c>
      <x:c r="L12" s="80" t="str">
        <x:f>B12&amp;"-"&amp;K12</x:f>
        <x:v>D2-2</x:v>
      </x:c>
      <x:c r="M12" s="80" t="str">
        <x:f>IF(AND(K12&lt;='游客输出器'!$B$11,OR(B12&lt;&gt;"D4",'游客输出器'!$B$4=4)),"输出","不输出")</x:f>
        <x:v>输出</x:v>
      </x:c>
      <x:c r="N12" s="80" t="n">
        <x:f>IF('智能体会话输入'!$C$29&gt;=0.5,ROUND(('路线模块库'!AC12-3)*'智能体会话输入'!$B$29*'智能体会话输入'!$C$29*1.5,0),0)</x:f>
        <x:v>0</x:v>
      </x:c>
      <x:c r="O12" s="80" t="n">
        <x:f>IF('智能体会话输入'!$C$30&gt;=0.5,ROUND(('路线模块库'!AD12-3)*'智能体会话输入'!$B$30*'智能体会话输入'!$C$30*1.5,0),0)</x:f>
        <x:v>0</x:v>
      </x:c>
      <x:c r="P12" s="80" t="n">
        <x:f>IF('智能体会话输入'!$C$31&gt;=0.5,ROUND(('路线模块库'!AE12-3)*'智能体会话输入'!$B$31*'智能体会话输入'!$C$31*1.5,0),0)</x:f>
        <x:v>0</x:v>
      </x:c>
      <x:c r="Q12" s="80" t="n">
        <x:f>IF('智能体会话输入'!$C$32&gt;=0.5,ROUND(('路线模块库'!AF12-3)*'智能体会话输入'!$B$32*'智能体会话输入'!$C$32*1.5,0),0)</x:f>
        <x:v>0</x:v>
      </x:c>
      <x:c r="R12" s="80" t="n">
        <x:f>IF('智能体会话输入'!$C$33&gt;=0.5,ROUND(('路线模块库'!AG12-3)*'智能体会话输入'!$B$33*'智能体会话输入'!$C$33*1.5,0),0)</x:f>
        <x:v>0</x:v>
      </x:c>
      <x:c r="S12" s="80" t="n">
        <x:f>IF('智能体会话输入'!$C$34&gt;=0.5,ROUND(('路线模块库'!AH12-3)*'智能体会话输入'!$B$34*'智能体会话输入'!$C$34*1.5,0),0)</x:f>
        <x:v>0</x:v>
      </x:c>
      <x:c r="T12" s="80" t="n">
        <x:f>IF('智能体会话输入'!$C$35&gt;=0.5,ROUND(('路线模块库'!AI12-3)*'智能体会话输入'!$B$35*'智能体会话输入'!$C$35*1.5,0),0)</x:f>
        <x:v>0</x:v>
      </x:c>
      <x:c r="U12" s="80" t="n">
        <x:f>IF('智能体会话输入'!$C$36&gt;=0.5,ROUND(('路线模块库'!AJ12-3)*'智能体会话输入'!$B$36*'智能体会话输入'!$C$36*1.5,0),0)</x:f>
        <x:v>5</x:v>
      </x:c>
      <x:c r="V12" s="80" t="n">
        <x:f>SUM(N12:U12)</x:f>
        <x:v>5</x:v>
      </x:c>
      <x:c r="W12" s="77" t="str">
        <x:f>IF(MAX(N12:U12)&lt;=0,"基础画像",IF(MAX(N12:U12)=N12,"视觉奇观",IF(MAX(N12:U12)=O12,"历史理解",IF(MAX(N12:U12)=P12,"在地生活",IF(MAX(N12:U12)=Q12,"饮食互动",IF(MAX(N12:U12)=R12,"低摩擦",IF(MAX(N12:U12)=S12,"摄影创作",IF(MAX(N12:U12)=T12,"亲子教育","复游新鲜感"))))))))</x:f>
        <x:v>复游新鲜感</x:v>
      </x:c>
      <x:c r="X12" s="77" t="str">
        <x:f>IF('路线模块库'!AL12="无","可直接输出","需确认："&amp;'路线模块库'!AL12)</x:f>
        <x:v>需确认：历史兴趣深度|场馆开放</x:v>
      </x:c>
    </x:row>
    <x:row r="13" ht="38" customHeight="1">
      <x:c r="A13" s="77" t="str">
        <x:f>'路线模块库'!A13</x:f>
        <x:v>RM08</x:v>
      </x:c>
      <x:c r="B13" s="77" t="str">
        <x:f>'路线模块库'!B13</x:f>
        <x:v>D2</x:v>
      </x:c>
      <x:c r="C13" s="77" t="str">
        <x:f>'路线模块库'!D13</x:f>
        <x:v>下半城贸易与金融</x:v>
      </x:c>
      <x:c r="D13" s="77" t="str">
        <x:f>'路线模块库'!E13</x:f>
        <x:v>核心解释</x:v>
      </x:c>
      <x:c r="E13" s="80" t="n">
        <x:f>IF('游客输出器'!$B$5="首次经典",'路线模块库'!O13,IF('游客输出器'!$B$5="赛博摄影",'路线模块库'!P13,IF('游客输出器'!$B$5="文化历史",'路线模块库'!Q13,IF('游客输出器'!$B$5="美食生活",'路线模块库'!R13,IF('游客输出器'!$B$5="亲子轻松",'路线模块库'!S13,'路线模块库'!T13)))))</x:f>
        <x:v>3</x:v>
      </x:c>
      <x:c r="F13" s="80" t="n">
        <x:f>IF('游客输出器'!$B$6="低",IF('路线模块库'!L13=3,-120,IF(AND('路线模块库'!L13=2,'路线模块库'!K13&gt;120),-30,IF('路线模块库'!L13=2,-15,0))),IF('游客输出器'!$B$6="中",IF('路线模块库'!L13=3,-12,0),0))</x:f>
        <x:v>0</x:v>
      </x:c>
      <x:c r="G13" s="80" t="n">
        <x:f>IF('游客输出器'!$B$7="雨天",('路线模块库'!M13-3)*15,IF('游客输出器'!$B$7="炎热",('路线模块库'!N13-3)*12,0))</x:f>
        <x:v>0</x:v>
      </x:c>
      <x:c r="H13" s="80" t="n">
        <x:f>IF(B13="D4",IF('游客输出器'!$B$4&lt;4,-100,IF('路线模块库'!C13='游客输出器'!$B$8,20,-60)),IF(VALUE(RIGHT(B13,1))&lt;='游客输出器'!$B$4,0,-100))</x:f>
        <x:v>0</x:v>
      </x:c>
      <x:c r="I13" s="80" t="n">
        <x:f>'路线模块库'!V13</x:f>
        <x:v>68</x:v>
      </x:c>
      <x:c r="J13" s="80" t="n">
        <x:f>I13+E13*12+F13+G13+H13+'路线模块库'!U13*3+V13+ROW()/10000</x:f>
        <x:v>126.0013</x:v>
      </x:c>
      <x:c r="K13" s="80" t="n">
        <x:f>COUNTIFS($B$6:$B$29,B13,$J$6:$J$29,"&gt;"&amp;J13)+1</x:f>
        <x:v>3</x:v>
      </x:c>
      <x:c r="L13" s="80" t="str">
        <x:f>B13&amp;"-"&amp;K13</x:f>
        <x:v>D2-3</x:v>
      </x:c>
      <x:c r="M13" s="80" t="str">
        <x:f>IF(AND(K13&lt;='游客输出器'!$B$11,OR(B13&lt;&gt;"D4",'游客输出器'!$B$4=4)),"输出","不输出")</x:f>
        <x:v>输出</x:v>
      </x:c>
      <x:c r="N13" s="80" t="n">
        <x:f>IF('智能体会话输入'!$C$29&gt;=0.5,ROUND(('路线模块库'!AC13-3)*'智能体会话输入'!$B$29*'智能体会话输入'!$C$29*1.5,0),0)</x:f>
        <x:v>0</x:v>
      </x:c>
      <x:c r="O13" s="80" t="n">
        <x:f>IF('智能体会话输入'!$C$30&gt;=0.5,ROUND(('路线模块库'!AD13-3)*'智能体会话输入'!$B$30*'智能体会话输入'!$C$30*1.5,0),0)</x:f>
        <x:v>0</x:v>
      </x:c>
      <x:c r="P13" s="80" t="n">
        <x:f>IF('智能体会话输入'!$C$31&gt;=0.5,ROUND(('路线模块库'!AE13-3)*'智能体会话输入'!$B$31*'智能体会话输入'!$C$31*1.5,0),0)</x:f>
        <x:v>0</x:v>
      </x:c>
      <x:c r="Q13" s="80" t="n">
        <x:f>IF('智能体会话输入'!$C$32&gt;=0.5,ROUND(('路线模块库'!AF13-3)*'智能体会话输入'!$B$32*'智能体会话输入'!$C$32*1.5,0),0)</x:f>
        <x:v>0</x:v>
      </x:c>
      <x:c r="R13" s="80" t="n">
        <x:f>IF('智能体会话输入'!$C$33&gt;=0.5,ROUND(('路线模块库'!AG13-3)*'智能体会话输入'!$B$33*'智能体会话输入'!$C$33*1.5,0),0)</x:f>
        <x:v>0</x:v>
      </x:c>
      <x:c r="S13" s="80" t="n">
        <x:f>IF('智能体会话输入'!$C$34&gt;=0.5,ROUND(('路线模块库'!AH13-3)*'智能体会话输入'!$B$34*'智能体会话输入'!$C$34*1.5,0),0)</x:f>
        <x:v>0</x:v>
      </x:c>
      <x:c r="T13" s="80" t="n">
        <x:f>IF('智能体会话输入'!$C$35&gt;=0.5,ROUND(('路线模块库'!AI13-3)*'智能体会话输入'!$B$35*'智能体会话输入'!$C$35*1.5,0),0)</x:f>
        <x:v>0</x:v>
      </x:c>
      <x:c r="U13" s="80" t="n">
        <x:f>IF('智能体会话输入'!$C$36&gt;=0.5,ROUND(('路线模块库'!AJ13-3)*'智能体会话输入'!$B$36*'智能体会话输入'!$C$36*1.5,0),0)</x:f>
        <x:v>10</x:v>
      </x:c>
      <x:c r="V13" s="80" t="n">
        <x:f>SUM(N13:U13)</x:f>
        <x:v>10</x:v>
      </x:c>
      <x:c r="W13" s="77" t="str">
        <x:f>IF(MAX(N13:U13)&lt;=0,"基础画像",IF(MAX(N13:U13)=N13,"视觉奇观",IF(MAX(N13:U13)=O13,"历史理解",IF(MAX(N13:U13)=P13,"在地生活",IF(MAX(N13:U13)=Q13,"饮食互动",IF(MAX(N13:U13)=R13,"低摩擦",IF(MAX(N13:U13)=S13,"摄影创作",IF(MAX(N13:U13)=T13,"亲子教育","复游新鲜感"))))))))</x:f>
        <x:v>复游新鲜感</x:v>
      </x:c>
      <x:c r="X13" s="77" t="str">
        <x:f>IF('路线模块库'!AL13="无","可直接输出","需确认："&amp;'路线模块库'!AL13)</x:f>
        <x:v>需确认：是否已看过经典点</x:v>
      </x:c>
    </x:row>
    <x:row r="14" ht="38" customHeight="1">
      <x:c r="A14" s="77" t="str">
        <x:f>'路线模块库'!A14</x:f>
        <x:v>RM09</x:v>
      </x:c>
      <x:c r="B14" s="77" t="str">
        <x:f>'路线模块库'!B14</x:f>
        <x:v>D2</x:v>
      </x:c>
      <x:c r="C14" s="77" t="str">
        <x:f>'路线模块库'!D14</x:f>
        <x:v>住宅与公共边界</x:v>
      </x:c>
      <x:c r="D14" s="77" t="str">
        <x:f>'路线模块库'!E14</x:f>
        <x:v>真实生活</x:v>
      </x:c>
      <x:c r="E14" s="80" t="n">
        <x:f>IF('游客输出器'!$B$5="首次经典",'路线模块库'!O14,IF('游客输出器'!$B$5="赛博摄影",'路线模块库'!P14,IF('游客输出器'!$B$5="文化历史",'路线模块库'!Q14,IF('游客输出器'!$B$5="美食生活",'路线模块库'!R14,IF('游客输出器'!$B$5="亲子轻松",'路线模块库'!S14,'路线模块库'!T14)))))</x:f>
        <x:v>2</x:v>
      </x:c>
      <x:c r="F14" s="80" t="n">
        <x:f>IF('游客输出器'!$B$6="低",IF('路线模块库'!L14=3,-120,IF(AND('路线模块库'!L14=2,'路线模块库'!K14&gt;120),-30,IF('路线模块库'!L14=2,-15,0))),IF('游客输出器'!$B$6="中",IF('路线模块库'!L14=3,-12,0),0))</x:f>
        <x:v>-15</x:v>
      </x:c>
      <x:c r="G14" s="80" t="n">
        <x:f>IF('游客输出器'!$B$7="雨天",('路线模块库'!M14-3)*15,IF('游客输出器'!$B$7="炎热",('路线模块库'!N14-3)*12,0))</x:f>
        <x:v>0</x:v>
      </x:c>
      <x:c r="H14" s="80" t="n">
        <x:f>IF(B14="D4",IF('游客输出器'!$B$4&lt;4,-100,IF('路线模块库'!C14='游客输出器'!$B$8,20,-60)),IF(VALUE(RIGHT(B14,1))&lt;='游客输出器'!$B$4,0,-100))</x:f>
        <x:v>0</x:v>
      </x:c>
      <x:c r="I14" s="80" t="n">
        <x:f>'路线模块库'!V14</x:f>
        <x:v>38</x:v>
      </x:c>
      <x:c r="J14" s="80" t="n">
        <x:f>I14+E14*12+F14+G14+H14+'路线模块库'!U14*3+V14+ROW()/10000</x:f>
        <x:v>63.0014</x:v>
      </x:c>
      <x:c r="K14" s="80" t="n">
        <x:f>COUNTIFS($B$6:$B$29,B14,$J$6:$J$29,"&gt;"&amp;J14)+1</x:f>
        <x:v>6</x:v>
      </x:c>
      <x:c r="L14" s="80" t="str">
        <x:f>B14&amp;"-"&amp;K14</x:f>
        <x:v>D2-6</x:v>
      </x:c>
      <x:c r="M14" s="80" t="str">
        <x:f>IF(AND(K14&lt;='游客输出器'!$B$11,OR(B14&lt;&gt;"D4",'游客输出器'!$B$4=4)),"输出","不输出")</x:f>
        <x:v>不输出</x:v>
      </x:c>
      <x:c r="N14" s="80" t="n">
        <x:f>IF('智能体会话输入'!$C$29&gt;=0.5,ROUND(('路线模块库'!AC14-3)*'智能体会话输入'!$B$29*'智能体会话输入'!$C$29*1.5,0),0)</x:f>
        <x:v>-7</x:v>
      </x:c>
      <x:c r="O14" s="80" t="n">
        <x:f>IF('智能体会话输入'!$C$30&gt;=0.5,ROUND(('路线模块库'!AD14-3)*'智能体会话输入'!$B$30*'智能体会话输入'!$C$30*1.5,0),0)</x:f>
        <x:v>0</x:v>
      </x:c>
      <x:c r="P14" s="80" t="n">
        <x:f>IF('智能体会话输入'!$C$31&gt;=0.5,ROUND(('路线模块库'!AE14-3)*'智能体会话输入'!$B$31*'智能体会话输入'!$C$31*1.5,0),0)</x:f>
        <x:v>10</x:v>
      </x:c>
      <x:c r="Q14" s="80" t="n">
        <x:f>IF('智能体会话输入'!$C$32&gt;=0.5,ROUND(('路线模块库'!AF14-3)*'智能体会话输入'!$B$32*'智能体会话输入'!$C$32*1.5,0),0)</x:f>
        <x:v>0</x:v>
      </x:c>
      <x:c r="R14" s="80" t="n">
        <x:f>IF('智能体会话输入'!$C$33&gt;=0.5,ROUND(('路线模块库'!AG14-3)*'智能体会话输入'!$B$33*'智能体会话输入'!$C$33*1.5,0),0)</x:f>
        <x:v>-6</x:v>
      </x:c>
      <x:c r="S14" s="80" t="n">
        <x:f>IF('智能体会话输入'!$C$34&gt;=0.5,ROUND(('路线模块库'!AH14-3)*'智能体会话输入'!$B$34*'智能体会话输入'!$C$34*1.5,0),0)</x:f>
        <x:v>0</x:v>
      </x:c>
      <x:c r="T14" s="80" t="n">
        <x:f>IF('智能体会话输入'!$C$35&gt;=0.5,ROUND(('路线模块库'!AI14-3)*'智能体会话输入'!$B$35*'智能体会话输入'!$C$35*1.5,0),0)</x:f>
        <x:v>0</x:v>
      </x:c>
      <x:c r="U14" s="80" t="n">
        <x:f>IF('智能体会话输入'!$C$36&gt;=0.5,ROUND(('路线模块库'!AJ14-3)*'智能体会话输入'!$B$36*'智能体会话输入'!$C$36*1.5,0),0)</x:f>
        <x:v>10</x:v>
      </x:c>
      <x:c r="V14" s="80" t="n">
        <x:f>SUM(N14:U14)</x:f>
        <x:v>7</x:v>
      </x:c>
      <x:c r="W14" s="77" t="str">
        <x:f>IF(MAX(N14:U14)&lt;=0,"基础画像",IF(MAX(N14:U14)=N14,"视觉奇观",IF(MAX(N14:U14)=O14,"历史理解",IF(MAX(N14:U14)=P14,"在地生活",IF(MAX(N14:U14)=Q14,"饮食互动",IF(MAX(N14:U14)=R14,"低摩擦",IF(MAX(N14:U14)=S14,"摄影创作",IF(MAX(N14:U14)=T14,"亲子教育","复游新鲜感"))))))))</x:f>
        <x:v>在地生活</x:v>
      </x:c>
      <x:c r="X14" s="77" t="str">
        <x:f>IF('路线模块库'!AL14="无","可直接输出","需确认："&amp;'路线模块库'!AL14)</x:f>
        <x:v>需确认：是否拍摄|是否接受不进入私域</x:v>
      </x:c>
    </x:row>
    <x:row r="15" ht="38" customHeight="1">
      <x:c r="A15" s="77" t="str">
        <x:f>'路线模块库'!A15</x:f>
        <x:v>RM10</x:v>
      </x:c>
      <x:c r="B15" s="77" t="str">
        <x:f>'路线模块库'!B15</x:f>
        <x:v>D2</x:v>
      </x:c>
      <x:c r="C15" s="77" t="str">
        <x:f>'路线模块库'!D15</x:f>
        <x:v>陆路城门与山城步道</x:v>
      </x:c>
      <x:c r="D15" s="77" t="str">
        <x:f>'路线模块库'!E15</x:f>
        <x:v>核心解释</x:v>
      </x:c>
      <x:c r="E15" s="80" t="n">
        <x:f>IF('游客输出器'!$B$5="首次经典",'路线模块库'!O15,IF('游客输出器'!$B$5="赛博摄影",'路线模块库'!P15,IF('游客输出器'!$B$5="文化历史",'路线模块库'!Q15,IF('游客输出器'!$B$5="美食生活",'路线模块库'!R15,IF('游客输出器'!$B$5="亲子轻松",'路线模块库'!S15,'路线模块库'!T15)))))</x:f>
        <x:v>5</x:v>
      </x:c>
      <x:c r="F15" s="80" t="n">
        <x:f>IF('游客输出器'!$B$6="低",IF('路线模块库'!L15=3,-120,IF(AND('路线模块库'!L15=2,'路线模块库'!K15&gt;120),-30,IF('路线模块库'!L15=2,-15,0))),IF('游客输出器'!$B$6="中",IF('路线模块库'!L15=3,-12,0),0))</x:f>
        <x:v>-120</x:v>
      </x:c>
      <x:c r="G15" s="80" t="n">
        <x:f>IF('游客输出器'!$B$7="雨天",('路线模块库'!M15-3)*15,IF('游客输出器'!$B$7="炎热",('路线模块库'!N15-3)*12,0))</x:f>
        <x:v>0</x:v>
      </x:c>
      <x:c r="H15" s="80" t="n">
        <x:f>IF(B15="D4",IF('游客输出器'!$B$4&lt;4,-100,IF('路线模块库'!C15='游客输出器'!$B$8,20,-60)),IF(VALUE(RIGHT(B15,1))&lt;='游客输出器'!$B$4,0,-100))</x:f>
        <x:v>0</x:v>
      </x:c>
      <x:c r="I15" s="80" t="n">
        <x:f>'路线模块库'!V15</x:f>
        <x:v>98</x:v>
      </x:c>
      <x:c r="J15" s="80" t="n">
        <x:f>I15+E15*12+F15+G15+H15+'路线模块库'!U15*3+V15+ROW()/10000</x:f>
        <x:v>74.0015</x:v>
      </x:c>
      <x:c r="K15" s="80" t="n">
        <x:f>COUNTIFS($B$6:$B$29,B15,$J$6:$J$29,"&gt;"&amp;J15)+1</x:f>
        <x:v>5</x:v>
      </x:c>
      <x:c r="L15" s="80" t="str">
        <x:f>B15&amp;"-"&amp;K15</x:f>
        <x:v>D2-5</x:v>
      </x:c>
      <x:c r="M15" s="80" t="str">
        <x:f>IF(AND(K15&lt;='游客输出器'!$B$11,OR(B15&lt;&gt;"D4",'游客输出器'!$B$4=4)),"输出","不输出")</x:f>
        <x:v>不输出</x:v>
      </x:c>
      <x:c r="N15" s="80" t="n">
        <x:f>IF('智能体会话输入'!$C$29&gt;=0.5,ROUND(('路线模块库'!AC15-3)*'智能体会话输入'!$B$29*'智能体会话输入'!$C$29*1.5,0),0)</x:f>
        <x:v>7</x:v>
      </x:c>
      <x:c r="O15" s="80" t="n">
        <x:f>IF('智能体会话输入'!$C$30&gt;=0.5,ROUND(('路线模块库'!AD15-3)*'智能体会话输入'!$B$30*'智能体会话输入'!$C$30*1.5,0),0)</x:f>
        <x:v>0</x:v>
      </x:c>
      <x:c r="P15" s="80" t="n">
        <x:f>IF('智能体会话输入'!$C$31&gt;=0.5,ROUND(('路线模块库'!AE15-3)*'智能体会话输入'!$B$31*'智能体会话输入'!$C$31*1.5,0),0)</x:f>
        <x:v>10</x:v>
      </x:c>
      <x:c r="Q15" s="80" t="n">
        <x:f>IF('智能体会话输入'!$C$32&gt;=0.5,ROUND(('路线模块库'!AF15-3)*'智能体会话输入'!$B$32*'智能体会话输入'!$C$32*1.5,0),0)</x:f>
        <x:v>0</x:v>
      </x:c>
      <x:c r="R15" s="80" t="n">
        <x:f>IF('智能体会话输入'!$C$33&gt;=0.5,ROUND(('路线模块库'!AG15-3)*'智能体会话输入'!$B$33*'智能体会话输入'!$C$33*1.5,0),0)</x:f>
        <x:v>-11</x:v>
      </x:c>
      <x:c r="S15" s="80" t="n">
        <x:f>IF('智能体会话输入'!$C$34&gt;=0.5,ROUND(('路线模块库'!AH15-3)*'智能体会话输入'!$B$34*'智能体会话输入'!$C$34*1.5,0),0)</x:f>
        <x:v>5</x:v>
      </x:c>
      <x:c r="T15" s="80" t="n">
        <x:f>IF('智能体会话输入'!$C$35&gt;=0.5,ROUND(('路线模块库'!AI15-3)*'智能体会话输入'!$B$35*'智能体会话输入'!$C$35*1.5,0),0)</x:f>
        <x:v>0</x:v>
      </x:c>
      <x:c r="U15" s="80" t="n">
        <x:f>IF('智能体会话输入'!$C$36&gt;=0.5,ROUND(('路线模块库'!AJ15-3)*'智能体会话输入'!$B$36*'智能体会话输入'!$C$36*1.5,0),0)</x:f>
        <x:v>10</x:v>
      </x:c>
      <x:c r="V15" s="80" t="n">
        <x:f>SUM(N15:U15)</x:f>
        <x:v>21</x:v>
      </x:c>
      <x:c r="W15" s="77" t="str">
        <x:f>IF(MAX(N15:U15)&lt;=0,"基础画像",IF(MAX(N15:U15)=N15,"视觉奇观",IF(MAX(N15:U15)=O15,"历史理解",IF(MAX(N15:U15)=P15,"在地生活",IF(MAX(N15:U15)=Q15,"饮食互动",IF(MAX(N15:U15)=R15,"低摩擦",IF(MAX(N15:U15)=S15,"摄影创作",IF(MAX(N15:U15)=T15,"亲子教育","复游新鲜感"))))))))</x:f>
        <x:v>在地生活</x:v>
      </x:c>
      <x:c r="X15" s="77" t="str">
        <x:f>IF('路线模块库'!AL15="无","可直接输出","需确认："&amp;'路线模块库'!AL15)</x:f>
        <x:v>需确认：连续台阶能力|膝关节情况</x:v>
      </x:c>
    </x:row>
    <x:row r="16" ht="38" customHeight="1">
      <x:c r="A16" s="77" t="str">
        <x:f>'路线模块库'!A16</x:f>
        <x:v>RM11</x:v>
      </x:c>
      <x:c r="B16" s="77" t="str">
        <x:f>'路线模块库'!B16</x:f>
        <x:v>D2</x:v>
      </x:c>
      <x:c r="C16" s="77" t="str">
        <x:f>'路线模块库'!D16</x:f>
        <x:v>平民战争记忆</x:v>
      </x:c>
      <x:c r="D16" s="77" t="str">
        <x:f>'路线模块库'!E16</x:f>
        <x:v>核心解释</x:v>
      </x:c>
      <x:c r="E16" s="80" t="n">
        <x:f>IF('游客输出器'!$B$5="首次经典",'路线模块库'!O16,IF('游客输出器'!$B$5="赛博摄影",'路线模块库'!P16,IF('游客输出器'!$B$5="文化历史",'路线模块库'!Q16,IF('游客输出器'!$B$5="美食生活",'路线模块库'!R16,IF('游客输出器'!$B$5="亲子轻松",'路线模块库'!S16,'路线模块库'!T16)))))</x:f>
        <x:v>2</x:v>
      </x:c>
      <x:c r="F16" s="80" t="n">
        <x:f>IF('游客输出器'!$B$6="低",IF('路线模块库'!L16=3,-120,IF(AND('路线模块库'!L16=2,'路线模块库'!K16&gt;120),-30,IF('路线模块库'!L16=2,-15,0))),IF('游客输出器'!$B$6="中",IF('路线模块库'!L16=3,-12,0),0))</x:f>
        <x:v>0</x:v>
      </x:c>
      <x:c r="G16" s="80" t="n">
        <x:f>IF('游客输出器'!$B$7="雨天",('路线模块库'!M16-3)*15,IF('游客输出器'!$B$7="炎热",('路线模块库'!N16-3)*12,0))</x:f>
        <x:v>0</x:v>
      </x:c>
      <x:c r="H16" s="80" t="n">
        <x:f>IF(B16="D4",IF('游客输出器'!$B$4&lt;4,-100,IF('路线模块库'!C16='游客输出器'!$B$8,20,-60)),IF(VALUE(RIGHT(B16,1))&lt;='游客输出器'!$B$4,0,-100))</x:f>
        <x:v>0</x:v>
      </x:c>
      <x:c r="I16" s="80" t="n">
        <x:f>'路线模块库'!V16</x:f>
        <x:v>55</x:v>
      </x:c>
      <x:c r="J16" s="80" t="n">
        <x:f>I16+E16*12+F16+G16+H16+'路线模块库'!U16*3+V16+ROW()/10000</x:f>
        <x:v>79.0016</x:v>
      </x:c>
      <x:c r="K16" s="80" t="n">
        <x:f>COUNTIFS($B$6:$B$29,B16,$J$6:$J$29,"&gt;"&amp;J16)+1</x:f>
        <x:v>4</x:v>
      </x:c>
      <x:c r="L16" s="80" t="str">
        <x:f>B16&amp;"-"&amp;K16</x:f>
        <x:v>D2-4</x:v>
      </x:c>
      <x:c r="M16" s="80" t="str">
        <x:f>IF(AND(K16&lt;='游客输出器'!$B$11,OR(B16&lt;&gt;"D4",'游客输出器'!$B$4=4)),"输出","不输出")</x:f>
        <x:v>不输出</x:v>
      </x:c>
      <x:c r="N16" s="80" t="n">
        <x:f>IF('智能体会话输入'!$C$29&gt;=0.5,ROUND(('路线模块库'!AC16-3)*'智能体会话输入'!$B$29*'智能体会话输入'!$C$29*1.5,0),0)</x:f>
        <x:v>-7</x:v>
      </x:c>
      <x:c r="O16" s="80" t="n">
        <x:f>IF('智能体会话输入'!$C$30&gt;=0.5,ROUND(('路线模块库'!AD16-3)*'智能体会话输入'!$B$30*'智能体会话输入'!$C$30*1.5,0),0)</x:f>
        <x:v>0</x:v>
      </x:c>
      <x:c r="P16" s="80" t="n">
        <x:f>IF('智能体会话输入'!$C$31&gt;=0.5,ROUND(('路线模块库'!AE16-3)*'智能体会话输入'!$B$31*'智能体会话输入'!$C$31*1.5,0),0)</x:f>
        <x:v>-5</x:v>
      </x:c>
      <x:c r="Q16" s="80" t="n">
        <x:f>IF('智能体会话输入'!$C$32&gt;=0.5,ROUND(('路线模块库'!AF16-3)*'智能体会话输入'!$B$32*'智能体会话输入'!$C$32*1.5,0),0)</x:f>
        <x:v>0</x:v>
      </x:c>
      <x:c r="R16" s="80" t="n">
        <x:f>IF('智能体会话输入'!$C$33&gt;=0.5,ROUND(('路线模块库'!AG16-3)*'智能体会话输入'!$B$33*'智能体会话输入'!$C$33*1.5,0),0)</x:f>
        <x:v>6</x:v>
      </x:c>
      <x:c r="S16" s="80" t="n">
        <x:f>IF('智能体会话输入'!$C$34&gt;=0.5,ROUND(('路线模块库'!AH16-3)*'智能体会话输入'!$B$34*'智能体会话输入'!$C$34*1.5,0),0)</x:f>
        <x:v>-11</x:v>
      </x:c>
      <x:c r="T16" s="80" t="n">
        <x:f>IF('智能体会话输入'!$C$35&gt;=0.5,ROUND(('路线模块库'!AI16-3)*'智能体会话输入'!$B$35*'智能体会话输入'!$C$35*1.5,0),0)</x:f>
        <x:v>0</x:v>
      </x:c>
      <x:c r="U16" s="80" t="n">
        <x:f>IF('智能体会话输入'!$C$36&gt;=0.5,ROUND(('路线模块库'!AJ16-3)*'智能体会话输入'!$B$36*'智能体会话输入'!$C$36*1.5,0),0)</x:f>
        <x:v>5</x:v>
      </x:c>
      <x:c r="V16" s="80" t="n">
        <x:f>SUM(N16:U16)</x:f>
        <x:v>-12</x:v>
      </x:c>
      <x:c r="W16" s="77" t="str">
        <x:f>IF(MAX(N16:U16)&lt;=0,"基础画像",IF(MAX(N16:U16)=N16,"视觉奇观",IF(MAX(N16:U16)=O16,"历史理解",IF(MAX(N16:U16)=P16,"在地生活",IF(MAX(N16:U16)=Q16,"饮食互动",IF(MAX(N16:U16)=R16,"低摩擦",IF(MAX(N16:U16)=S16,"摄影创作",IF(MAX(N16:U16)=T16,"亲子教育","复游新鲜感"))))))))</x:f>
        <x:v>低摩擦</x:v>
      </x:c>
      <x:c r="X16" s="77" t="str">
        <x:f>IF('路线模块库'!AL16="无","可直接输出","需确认："&amp;'路线模块库'!AL16)</x:f>
        <x:v>需确认：是否接受战争与伤亡内容</x:v>
      </x:c>
    </x:row>
    <x:row r="17" ht="38" customHeight="1">
      <x:c r="A17" s="77" t="str">
        <x:f>'路线模块库'!A17</x:f>
        <x:v>RM12</x:v>
      </x:c>
      <x:c r="B17" s="77" t="str">
        <x:f>'路线模块库'!B17</x:f>
        <x:v>D2</x:v>
      </x:c>
      <x:c r="C17" s="77" t="str">
        <x:f>'路线模块库'!D17</x:f>
        <x:v>小面早餐与火锅社交</x:v>
      </x:c>
      <x:c r="D17" s="77" t="str">
        <x:f>'路线模块库'!E17</x:f>
        <x:v>付费体验</x:v>
      </x:c>
      <x:c r="E17" s="80" t="n">
        <x:f>IF('游客输出器'!$B$5="首次经典",'路线模块库'!O17,IF('游客输出器'!$B$5="赛博摄影",'路线模块库'!P17,IF('游客输出器'!$B$5="文化历史",'路线模块库'!Q17,IF('游客输出器'!$B$5="美食生活",'路线模块库'!R17,IF('游客输出器'!$B$5="亲子轻松",'路线模块库'!S17,'路线模块库'!T17)))))</x:f>
        <x:v>5</x:v>
      </x:c>
      <x:c r="F17" s="80" t="n">
        <x:f>IF('游客输出器'!$B$6="低",IF('路线模块库'!L17=3,-120,IF(AND('路线模块库'!L17=2,'路线模块库'!K17&gt;120),-30,IF('路线模块库'!L17=2,-15,0))),IF('游客输出器'!$B$6="中",IF('路线模块库'!L17=3,-12,0),0))</x:f>
        <x:v>0</x:v>
      </x:c>
      <x:c r="G17" s="80" t="n">
        <x:f>IF('游客输出器'!$B$7="雨天",('路线模块库'!M17-3)*15,IF('游客输出器'!$B$7="炎热",('路线模块库'!N17-3)*12,0))</x:f>
        <x:v>0</x:v>
      </x:c>
      <x:c r="H17" s="80" t="n">
        <x:f>IF(B17="D4",IF('游客输出器'!$B$4&lt;4,-100,IF('路线模块库'!C17='游客输出器'!$B$8,20,-60)),IF(VALUE(RIGHT(B17,1))&lt;='游客输出器'!$B$4,0,-100))</x:f>
        <x:v>0</x:v>
      </x:c>
      <x:c r="I17" s="80" t="n">
        <x:f>'路线模块库'!V17</x:f>
        <x:v>97</x:v>
      </x:c>
      <x:c r="J17" s="80" t="n">
        <x:f>I17+E17*12+F17+G17+H17+'路线模块库'!U17*3+V17+ROW()/10000</x:f>
        <x:v>180.0017</x:v>
      </x:c>
      <x:c r="K17" s="80" t="n">
        <x:f>COUNTIFS($B$6:$B$29,B17,$J$6:$J$29,"&gt;"&amp;J17)+1</x:f>
        <x:v>1</x:v>
      </x:c>
      <x:c r="L17" s="80" t="str">
        <x:f>B17&amp;"-"&amp;K17</x:f>
        <x:v>D2-1</x:v>
      </x:c>
      <x:c r="M17" s="80" t="str">
        <x:f>IF(AND(K17&lt;='游客输出器'!$B$11,OR(B17&lt;&gt;"D4",'游客输出器'!$B$4=4)),"输出","不输出")</x:f>
        <x:v>输出</x:v>
      </x:c>
      <x:c r="N17" s="80" t="n">
        <x:f>IF('智能体会话输入'!$C$29&gt;=0.5,ROUND(('路线模块库'!AC17-3)*'智能体会话输入'!$B$29*'智能体会话输入'!$C$29*1.5,0),0)</x:f>
        <x:v>-7</x:v>
      </x:c>
      <x:c r="O17" s="80" t="n">
        <x:f>IF('智能体会话输入'!$C$30&gt;=0.5,ROUND(('路线模块库'!AD17-3)*'智能体会话输入'!$B$30*'智能体会话输入'!$C$30*1.5,0),0)</x:f>
        <x:v>0</x:v>
      </x:c>
      <x:c r="P17" s="80" t="n">
        <x:f>IF('智能体会话输入'!$C$31&gt;=0.5,ROUND(('路线模块库'!AE17-3)*'智能体会话输入'!$B$31*'智能体会话输入'!$C$31*1.5,0),0)</x:f>
        <x:v>10</x:v>
      </x:c>
      <x:c r="Q17" s="80" t="n">
        <x:f>IF('智能体会话输入'!$C$32&gt;=0.5,ROUND(('路线模块库'!AF17-3)*'智能体会话输入'!$B$32*'智能体会话输入'!$C$32*1.5,0),0)</x:f>
        <x:v>0</x:v>
      </x:c>
      <x:c r="R17" s="80" t="n">
        <x:f>IF('智能体会话输入'!$C$33&gt;=0.5,ROUND(('路线模块库'!AG17-3)*'智能体会话输入'!$B$33*'智能体会话输入'!$C$33*1.5,0),0)</x:f>
        <x:v>0</x:v>
      </x:c>
      <x:c r="S17" s="80" t="n">
        <x:f>IF('智能体会话输入'!$C$34&gt;=0.5,ROUND(('路线模块库'!AH17-3)*'智能体会话输入'!$B$34*'智能体会话输入'!$C$34*1.5,0),0)</x:f>
        <x:v>0</x:v>
      </x:c>
      <x:c r="T17" s="80" t="n">
        <x:f>IF('智能体会话输入'!$C$35&gt;=0.5,ROUND(('路线模块库'!AI17-3)*'智能体会话输入'!$B$35*'智能体会话输入'!$C$35*1.5,0),0)</x:f>
        <x:v>0</x:v>
      </x:c>
      <x:c r="U17" s="80" t="n">
        <x:f>IF('智能体会话输入'!$C$36&gt;=0.5,ROUND(('路线模块库'!AJ17-3)*'智能体会话输入'!$B$36*'智能体会话输入'!$C$36*1.5,0),0)</x:f>
        <x:v>5</x:v>
      </x:c>
      <x:c r="V17" s="80" t="n">
        <x:f>SUM(N17:U17)</x:f>
        <x:v>8</x:v>
      </x:c>
      <x:c r="W17" s="77" t="str">
        <x:f>IF(MAX(N17:U17)&lt;=0,"基础画像",IF(MAX(N17:U17)=N17,"视觉奇观",IF(MAX(N17:U17)=O17,"历史理解",IF(MAX(N17:U17)=P17,"在地生活",IF(MAX(N17:U17)=Q17,"饮食互动",IF(MAX(N17:U17)=R17,"低摩擦",IF(MAX(N17:U17)=S17,"摄影创作",IF(MAX(N17:U17)=T17,"亲子教育","复游新鲜感"))))))))</x:f>
        <x:v>在地生活</x:v>
      </x:c>
      <x:c r="X17" s="77" t="str">
        <x:f>IF('路线模块库'!AL17="无","可直接输出","需确认："&amp;'路线模块库'!AL17)</x:f>
        <x:v>需确认：过敏|忌口|辣度|预算</x:v>
      </x:c>
    </x:row>
    <x:row r="18" ht="38" customHeight="1">
      <x:c r="A18" s="77" t="str">
        <x:f>'路线模块库'!A18</x:f>
        <x:v>RM13</x:v>
      </x:c>
      <x:c r="B18" s="77" t="str">
        <x:f>'路线模块库'!B18</x:f>
        <x:v>D3</x:v>
      </x:c>
      <x:c r="C18" s="77" t="str">
        <x:f>'路线模块库'!D18</x:f>
        <x:v>博物馆建立城市框架</x:v>
      </x:c>
      <x:c r="D18" s="77" t="str">
        <x:f>'路线模块库'!E18</x:f>
        <x:v>核心解释</x:v>
      </x:c>
      <x:c r="E18" s="80" t="n">
        <x:f>IF('游客输出器'!$B$5="首次经典",'路线模块库'!O18,IF('游客输出器'!$B$5="赛博摄影",'路线模块库'!P18,IF('游客输出器'!$B$5="文化历史",'路线模块库'!Q18,IF('游客输出器'!$B$5="美食生活",'路线模块库'!R18,IF('游客输出器'!$B$5="亲子轻松",'路线模块库'!S18,'路线模块库'!T18)))))</x:f>
        <x:v>5</x:v>
      </x:c>
      <x:c r="F18" s="80" t="n">
        <x:f>IF('游客输出器'!$B$6="低",IF('路线模块库'!L18=3,-120,IF(AND('路线模块库'!L18=2,'路线模块库'!K18&gt;120),-30,IF('路线模块库'!L18=2,-15,0))),IF('游客输出器'!$B$6="中",IF('路线模块库'!L18=3,-12,0),0))</x:f>
        <x:v>0</x:v>
      </x:c>
      <x:c r="G18" s="80" t="n">
        <x:f>IF('游客输出器'!$B$7="雨天",('路线模块库'!M18-3)*15,IF('游客输出器'!$B$7="炎热",('路线模块库'!N18-3)*12,0))</x:f>
        <x:v>0</x:v>
      </x:c>
      <x:c r="H18" s="80" t="n">
        <x:f>IF(B18="D4",IF('游客输出器'!$B$4&lt;4,-100,IF('路线模块库'!C18='游客输出器'!$B$8,20,-60)),IF(VALUE(RIGHT(B18,1))&lt;='游客输出器'!$B$4,0,-100))</x:f>
        <x:v>0</x:v>
      </x:c>
      <x:c r="I18" s="80" t="n">
        <x:f>'路线模块库'!V18</x:f>
        <x:v>92</x:v>
      </x:c>
      <x:c r="J18" s="80" t="n">
        <x:f>I18+E18*12+F18+G18+H18+'路线模块库'!U18*3+V18+ROW()/10000</x:f>
        <x:v>158.0018</x:v>
      </x:c>
      <x:c r="K18" s="80" t="n">
        <x:f>COUNTIFS($B$6:$B$29,B18,$J$6:$J$29,"&gt;"&amp;J18)+1</x:f>
        <x:v>3</x:v>
      </x:c>
      <x:c r="L18" s="80" t="str">
        <x:f>B18&amp;"-"&amp;K18</x:f>
        <x:v>D3-3</x:v>
      </x:c>
      <x:c r="M18" s="80" t="str">
        <x:f>IF(AND(K18&lt;='游客输出器'!$B$11,OR(B18&lt;&gt;"D4",'游客输出器'!$B$4=4)),"输出","不输出")</x:f>
        <x:v>输出</x:v>
      </x:c>
      <x:c r="N18" s="80" t="n">
        <x:f>IF('智能体会话输入'!$C$29&gt;=0.5,ROUND(('路线模块库'!AC18-3)*'智能体会话输入'!$B$29*'智能体会话输入'!$C$29*1.5,0),0)</x:f>
        <x:v>-7</x:v>
      </x:c>
      <x:c r="O18" s="80" t="n">
        <x:f>IF('智能体会话输入'!$C$30&gt;=0.5,ROUND(('路线模块库'!AD18-3)*'智能体会话输入'!$B$30*'智能体会话输入'!$C$30*1.5,0),0)</x:f>
        <x:v>0</x:v>
      </x:c>
      <x:c r="P18" s="80" t="n">
        <x:f>IF('智能体会话输入'!$C$31&gt;=0.5,ROUND(('路线模块库'!AE18-3)*'智能体会话输入'!$B$31*'智能体会话输入'!$C$31*1.5,0),0)</x:f>
        <x:v>-5</x:v>
      </x:c>
      <x:c r="Q18" s="80" t="n">
        <x:f>IF('智能体会话输入'!$C$32&gt;=0.5,ROUND(('路线模块库'!AF18-3)*'智能体会话输入'!$B$32*'智能体会话输入'!$C$32*1.5,0),0)</x:f>
        <x:v>0</x:v>
      </x:c>
      <x:c r="R18" s="80" t="n">
        <x:f>IF('智能体会话输入'!$C$33&gt;=0.5,ROUND(('路线模块库'!AG18-3)*'智能体会话输入'!$B$33*'智能体会话输入'!$C$33*1.5,0),0)</x:f>
        <x:v>11</x:v>
      </x:c>
      <x:c r="S18" s="80" t="n">
        <x:f>IF('智能体会话输入'!$C$34&gt;=0.5,ROUND(('路线模块库'!AH18-3)*'智能体会话输入'!$B$34*'智能体会话输入'!$C$34*1.5,0),0)</x:f>
        <x:v>-5</x:v>
      </x:c>
      <x:c r="T18" s="80" t="n">
        <x:f>IF('智能体会话输入'!$C$35&gt;=0.5,ROUND(('路线模块库'!AI18-3)*'智能体会话输入'!$B$35*'智能体会话输入'!$C$35*1.5,0),0)</x:f>
        <x:v>0</x:v>
      </x:c>
      <x:c r="U18" s="80" t="n">
        <x:f>IF('智能体会话输入'!$C$36&gt;=0.5,ROUND(('路线模块库'!AJ18-3)*'智能体会话输入'!$B$36*'智能体会话输入'!$C$36*1.5,0),0)</x:f>
        <x:v>0</x:v>
      </x:c>
      <x:c r="V18" s="80" t="n">
        <x:f>SUM(N18:U18)</x:f>
        <x:v>-6</x:v>
      </x:c>
      <x:c r="W18" s="77" t="str">
        <x:f>IF(MAX(N18:U18)&lt;=0,"基础画像",IF(MAX(N18:U18)=N18,"视觉奇观",IF(MAX(N18:U18)=O18,"历史理解",IF(MAX(N18:U18)=P18,"在地生活",IF(MAX(N18:U18)=Q18,"饮食互动",IF(MAX(N18:U18)=R18,"低摩擦",IF(MAX(N18:U18)=S18,"摄影创作",IF(MAX(N18:U18)=T18,"亲子教育","复游新鲜感"))))))))</x:f>
        <x:v>低摩擦</x:v>
      </x:c>
      <x:c r="X18" s="77" t="str">
        <x:f>IF('路线模块库'!AL18="无","可直接输出","需确认："&amp;'路线模块库'!AL18)</x:f>
        <x:v>需确认：开放时间|儿童年龄</x:v>
      </x:c>
    </x:row>
    <x:row r="19" ht="38" customHeight="1">
      <x:c r="A19" s="77" t="str">
        <x:f>'路线模块库'!A19</x:f>
        <x:v>RM14</x:v>
      </x:c>
      <x:c r="B19" s="77" t="str">
        <x:f>'路线模块库'!B19</x:f>
        <x:v>D3</x:v>
      </x:c>
      <x:c r="C19" s="77" t="str">
        <x:f>'路线模块库'!D19</x:f>
        <x:v>抗战陪都街区</x:v>
      </x:c>
      <x:c r="D19" s="77" t="str">
        <x:f>'路线模块库'!E19</x:f>
        <x:v>核心解释</x:v>
      </x:c>
      <x:c r="E19" s="80" t="n">
        <x:f>IF('游客输出器'!$B$5="首次经典",'路线模块库'!O19,IF('游客输出器'!$B$5="赛博摄影",'路线模块库'!P19,IF('游客输出器'!$B$5="文化历史",'路线模块库'!Q19,IF('游客输出器'!$B$5="美食生活",'路线模块库'!R19,IF('游客输出器'!$B$5="亲子轻松",'路线模块库'!S19,'路线模块库'!T19)))))</x:f>
        <x:v>4</x:v>
      </x:c>
      <x:c r="F19" s="80" t="n">
        <x:f>IF('游客输出器'!$B$6="低",IF('路线模块库'!L19=3,-120,IF(AND('路线模块库'!L19=2,'路线模块库'!K19&gt;120),-30,IF('路线模块库'!L19=2,-15,0))),IF('游客输出器'!$B$6="中",IF('路线模块库'!L19=3,-12,0),0))</x:f>
        <x:v>0</x:v>
      </x:c>
      <x:c r="G19" s="80" t="n">
        <x:f>IF('游客输出器'!$B$7="雨天",('路线模块库'!M19-3)*15,IF('游客输出器'!$B$7="炎热",('路线模块库'!N19-3)*12,0))</x:f>
        <x:v>0</x:v>
      </x:c>
      <x:c r="H19" s="80" t="n">
        <x:f>IF(B19="D4",IF('游客输出器'!$B$4&lt;4,-100,IF('路线模块库'!C19='游客输出器'!$B$8,20,-60)),IF(VALUE(RIGHT(B19,1))&lt;='游客输出器'!$B$4,0,-100))</x:f>
        <x:v>0</x:v>
      </x:c>
      <x:c r="I19" s="80" t="n">
        <x:f>'路线模块库'!V19</x:f>
        <x:v>93</x:v>
      </x:c>
      <x:c r="J19" s="80" t="n">
        <x:f>I19+E19*12+F19+G19+H19+'路线模块库'!U19*3+V19+ROW()/10000</x:f>
        <x:v>167.0019</x:v>
      </x:c>
      <x:c r="K19" s="80" t="n">
        <x:f>COUNTIFS($B$6:$B$29,B19,$J$6:$J$29,"&gt;"&amp;J19)+1</x:f>
        <x:v>2</x:v>
      </x:c>
      <x:c r="L19" s="80" t="str">
        <x:f>B19&amp;"-"&amp;K19</x:f>
        <x:v>D3-2</x:v>
      </x:c>
      <x:c r="M19" s="80" t="str">
        <x:f>IF(AND(K19&lt;='游客输出器'!$B$11,OR(B19&lt;&gt;"D4",'游客输出器'!$B$4=4)),"输出","不输出")</x:f>
        <x:v>输出</x:v>
      </x:c>
      <x:c r="N19" s="80" t="n">
        <x:f>IF('智能体会话输入'!$C$29&gt;=0.5,ROUND(('路线模块库'!AC19-3)*'智能体会话输入'!$B$29*'智能体会话输入'!$C$29*1.5,0),0)</x:f>
        <x:v>0</x:v>
      </x:c>
      <x:c r="O19" s="80" t="n">
        <x:f>IF('智能体会话输入'!$C$30&gt;=0.5,ROUND(('路线模块库'!AD19-3)*'智能体会话输入'!$B$30*'智能体会话输入'!$C$30*1.5,0),0)</x:f>
        <x:v>0</x:v>
      </x:c>
      <x:c r="P19" s="80" t="n">
        <x:f>IF('智能体会话输入'!$C$31&gt;=0.5,ROUND(('路线模块库'!AE19-3)*'智能体会话输入'!$B$31*'智能体会话输入'!$C$31*1.5,0),0)</x:f>
        <x:v>0</x:v>
      </x:c>
      <x:c r="Q19" s="80" t="n">
        <x:f>IF('智能体会话输入'!$C$32&gt;=0.5,ROUND(('路线模块库'!AF19-3)*'智能体会话输入'!$B$32*'智能体会话输入'!$C$32*1.5,0),0)</x:f>
        <x:v>0</x:v>
      </x:c>
      <x:c r="R19" s="80" t="n">
        <x:f>IF('智能体会话输入'!$C$33&gt;=0.5,ROUND(('路线模块库'!AG19-3)*'智能体会话输入'!$B$33*'智能体会话输入'!$C$33*1.5,0),0)</x:f>
        <x:v>6</x:v>
      </x:c>
      <x:c r="S19" s="80" t="n">
        <x:f>IF('智能体会话输入'!$C$34&gt;=0.5,ROUND(('路线模块库'!AH19-3)*'智能体会话输入'!$B$34*'智能体会话输入'!$C$34*1.5,0),0)</x:f>
        <x:v>0</x:v>
      </x:c>
      <x:c r="T19" s="80" t="n">
        <x:f>IF('智能体会话输入'!$C$35&gt;=0.5,ROUND(('路线模块库'!AI19-3)*'智能体会话输入'!$B$35*'智能体会话输入'!$C$35*1.5,0),0)</x:f>
        <x:v>0</x:v>
      </x:c>
      <x:c r="U19" s="80" t="n">
        <x:f>IF('智能体会话输入'!$C$36&gt;=0.5,ROUND(('路线模块库'!AJ19-3)*'智能体会话输入'!$B$36*'智能体会话输入'!$C$36*1.5,0),0)</x:f>
        <x:v>5</x:v>
      </x:c>
      <x:c r="V19" s="80" t="n">
        <x:f>SUM(N19:U19)</x:f>
        <x:v>11</x:v>
      </x:c>
      <x:c r="W19" s="77" t="str">
        <x:f>IF(MAX(N19:U19)&lt;=0,"基础画像",IF(MAX(N19:U19)=N19,"视觉奇观",IF(MAX(N19:U19)=O19,"历史理解",IF(MAX(N19:U19)=P19,"在地生活",IF(MAX(N19:U19)=Q19,"饮食互动",IF(MAX(N19:U19)=R19,"低摩擦",IF(MAX(N19:U19)=S19,"摄影创作",IF(MAX(N19:U19)=T19,"亲子教育","复游新鲜感"))))))))</x:f>
        <x:v>低摩擦</x:v>
      </x:c>
      <x:c r="X19" s="77" t="str">
        <x:f>IF('路线模块库'!AL19="无","可直接输出","需确认："&amp;'路线模块库'!AL19)</x:f>
        <x:v>需确认：历史兴趣深度</x:v>
      </x:c>
    </x:row>
    <x:row r="20" ht="38" customHeight="1">
      <x:c r="A20" s="77" t="str">
        <x:f>'路线模块库'!A20</x:f>
        <x:v>RM15</x:v>
      </x:c>
      <x:c r="B20" s="77" t="str">
        <x:f>'路线模块库'!B20</x:f>
        <x:v>D3</x:v>
      </x:c>
      <x:c r="C20" s="77" t="str">
        <x:f>'路线模块库'!D20</x:f>
        <x:v>国际二战接口</x:v>
      </x:c>
      <x:c r="D20" s="77" t="str">
        <x:f>'路线模块库'!E20</x:f>
        <x:v>核心解释</x:v>
      </x:c>
      <x:c r="E20" s="80" t="n">
        <x:f>IF('游客输出器'!$B$5="首次经典",'路线模块库'!O20,IF('游客输出器'!$B$5="赛博摄影",'路线模块库'!P20,IF('游客输出器'!$B$5="文化历史",'路线模块库'!Q20,IF('游客输出器'!$B$5="美食生活",'路线模块库'!R20,IF('游客输出器'!$B$5="亲子轻松",'路线模块库'!S20,'路线模块库'!T20)))))</x:f>
        <x:v>3</x:v>
      </x:c>
      <x:c r="F20" s="80" t="n">
        <x:f>IF('游客输出器'!$B$6="低",IF('路线模块库'!L20=3,-120,IF(AND('路线模块库'!L20=2,'路线模块库'!K20&gt;120),-30,IF('路线模块库'!L20=2,-15,0))),IF('游客输出器'!$B$6="中",IF('路线模块库'!L20=3,-12,0),0))</x:f>
        <x:v>0</x:v>
      </x:c>
      <x:c r="G20" s="80" t="n">
        <x:f>IF('游客输出器'!$B$7="雨天",('路线模块库'!M20-3)*15,IF('游客输出器'!$B$7="炎热",('路线模块库'!N20-3)*12,0))</x:f>
        <x:v>0</x:v>
      </x:c>
      <x:c r="H20" s="80" t="n">
        <x:f>IF(B20="D4",IF('游客输出器'!$B$4&lt;4,-100,IF('路线模块库'!C20='游客输出器'!$B$8,20,-60)),IF(VALUE(RIGHT(B20,1))&lt;='游客输出器'!$B$4,0,-100))</x:f>
        <x:v>0</x:v>
      </x:c>
      <x:c r="I20" s="80" t="n">
        <x:f>'路线模块库'!V20</x:f>
        <x:v>74</x:v>
      </x:c>
      <x:c r="J20" s="80" t="n">
        <x:f>I20+E20*12+F20+G20+H20+'路线模块库'!U20*3+V20+ROW()/10000</x:f>
        <x:v>124.002</x:v>
      </x:c>
      <x:c r="K20" s="80" t="n">
        <x:f>COUNTIFS($B$6:$B$29,B20,$J$6:$J$29,"&gt;"&amp;J20)+1</x:f>
        <x:v>4</x:v>
      </x:c>
      <x:c r="L20" s="80" t="str">
        <x:f>B20&amp;"-"&amp;K20</x:f>
        <x:v>D3-4</x:v>
      </x:c>
      <x:c r="M20" s="80" t="str">
        <x:f>IF(AND(K20&lt;='游客输出器'!$B$11,OR(B20&lt;&gt;"D4",'游客输出器'!$B$4=4)),"输出","不输出")</x:f>
        <x:v>不输出</x:v>
      </x:c>
      <x:c r="N20" s="80" t="n">
        <x:f>IF('智能体会话输入'!$C$29&gt;=0.5,ROUND(('路线模块库'!AC20-3)*'智能体会话输入'!$B$29*'智能体会话输入'!$C$29*1.5,0),0)</x:f>
        <x:v>-7</x:v>
      </x:c>
      <x:c r="O20" s="80" t="n">
        <x:f>IF('智能体会话输入'!$C$30&gt;=0.5,ROUND(('路线模块库'!AD20-3)*'智能体会话输入'!$B$30*'智能体会话输入'!$C$30*1.5,0),0)</x:f>
        <x:v>0</x:v>
      </x:c>
      <x:c r="P20" s="80" t="n">
        <x:f>IF('智能体会话输入'!$C$31&gt;=0.5,ROUND(('路线模块库'!AE20-3)*'智能体会话输入'!$B$31*'智能体会话输入'!$C$31*1.5,0),0)</x:f>
        <x:v>-5</x:v>
      </x:c>
      <x:c r="Q20" s="80" t="n">
        <x:f>IF('智能体会话输入'!$C$32&gt;=0.5,ROUND(('路线模块库'!AF20-3)*'智能体会话输入'!$B$32*'智能体会话输入'!$C$32*1.5,0),0)</x:f>
        <x:v>0</x:v>
      </x:c>
      <x:c r="R20" s="80" t="n">
        <x:f>IF('智能体会话输入'!$C$33&gt;=0.5,ROUND(('路线模块库'!AG20-3)*'智能体会话输入'!$B$33*'智能体会话输入'!$C$33*1.5,0),0)</x:f>
        <x:v>6</x:v>
      </x:c>
      <x:c r="S20" s="80" t="n">
        <x:f>IF('智能体会话输入'!$C$34&gt;=0.5,ROUND(('路线模块库'!AH20-3)*'智能体会话输入'!$B$34*'智能体会话输入'!$C$34*1.5,0),0)</x:f>
        <x:v>-5</x:v>
      </x:c>
      <x:c r="T20" s="80" t="n">
        <x:f>IF('智能体会话输入'!$C$35&gt;=0.5,ROUND(('路线模块库'!AI20-3)*'智能体会话输入'!$B$35*'智能体会话输入'!$C$35*1.5,0),0)</x:f>
        <x:v>0</x:v>
      </x:c>
      <x:c r="U20" s="80" t="n">
        <x:f>IF('智能体会话输入'!$C$36&gt;=0.5,ROUND(('路线模块库'!AJ20-3)*'智能体会话输入'!$B$36*'智能体会话输入'!$C$36*1.5,0),0)</x:f>
        <x:v>10</x:v>
      </x:c>
      <x:c r="V20" s="80" t="n">
        <x:f>SUM(N20:U20)</x:f>
        <x:v>-1</x:v>
      </x:c>
      <x:c r="W20" s="77" t="str">
        <x:f>IF(MAX(N20:U20)&lt;=0,"基础画像",IF(MAX(N20:U20)=N20,"视觉奇观",IF(MAX(N20:U20)=O20,"历史理解",IF(MAX(N20:U20)=P20,"在地生活",IF(MAX(N20:U20)=Q20,"饮食互动",IF(MAX(N20:U20)=R20,"低摩擦",IF(MAX(N20:U20)=S20,"摄影创作",IF(MAX(N20:U20)=T20,"亲子教育","复游新鲜感"))))))))</x:f>
        <x:v>复游新鲜感</x:v>
      </x:c>
      <x:c r="X20" s="77" t="str">
        <x:f>IF('路线模块库'!AL20="无","可直接输出","需确认："&amp;'路线模块库'!AL20)</x:f>
        <x:v>需确认：国别背景|二战兴趣</x:v>
      </x:c>
    </x:row>
    <x:row r="21" ht="38" customHeight="1">
      <x:c r="A21" s="77" t="str">
        <x:f>'路线模块库'!A21</x:f>
        <x:v>RM16</x:v>
      </x:c>
      <x:c r="B21" s="77" t="str">
        <x:f>'路线模块库'!B21</x:f>
        <x:v>D3</x:v>
      </x:c>
      <x:c r="C21" s="77" t="str">
        <x:f>'路线模块库'!D21</x:f>
        <x:v>先乘坐，再拍照</x:v>
      </x:c>
      <x:c r="D21" s="77" t="str">
        <x:f>'路线模块库'!E21</x:f>
        <x:v>引流钩子</x:v>
      </x:c>
      <x:c r="E21" s="80" t="n">
        <x:f>IF('游客输出器'!$B$5="首次经典",'路线模块库'!O21,IF('游客输出器'!$B$5="赛博摄影",'路线模块库'!P21,IF('游客输出器'!$B$5="文化历史",'路线模块库'!Q21,IF('游客输出器'!$B$5="美食生活",'路线模块库'!R21,IF('游客输出器'!$B$5="亲子轻松",'路线模块库'!S21,'路线模块库'!T21)))))</x:f>
        <x:v>5</x:v>
      </x:c>
      <x:c r="F21" s="80" t="n">
        <x:f>IF('游客输出器'!$B$6="低",IF('路线模块库'!L21=3,-120,IF(AND('路线模块库'!L21=2,'路线模块库'!K21&gt;120),-30,IF('路线模块库'!L21=2,-15,0))),IF('游客输出器'!$B$6="中",IF('路线模块库'!L21=3,-12,0),0))</x:f>
        <x:v>0</x:v>
      </x:c>
      <x:c r="G21" s="80" t="n">
        <x:f>IF('游客输出器'!$B$7="雨天",('路线模块库'!M21-3)*15,IF('游客输出器'!$B$7="炎热",('路线模块库'!N21-3)*12,0))</x:f>
        <x:v>0</x:v>
      </x:c>
      <x:c r="H21" s="80" t="n">
        <x:f>IF(B21="D4",IF('游客输出器'!$B$4&lt;4,-100,IF('路线模块库'!C21='游客输出器'!$B$8,20,-60)),IF(VALUE(RIGHT(B21,1))&lt;='游客输出器'!$B$4,0,-100))</x:f>
        <x:v>0</x:v>
      </x:c>
      <x:c r="I21" s="80" t="n">
        <x:f>'路线模块库'!V21</x:f>
        <x:v>99</x:v>
      </x:c>
      <x:c r="J21" s="80" t="n">
        <x:f>I21+E21*12+F21+G21+H21+'路线模块库'!U21*3+V21+ROW()/10000</x:f>
        <x:v>197.0021</x:v>
      </x:c>
      <x:c r="K21" s="80" t="n">
        <x:f>COUNTIFS($B$6:$B$29,B21,$J$6:$J$29,"&gt;"&amp;J21)+1</x:f>
        <x:v>1</x:v>
      </x:c>
      <x:c r="L21" s="80" t="str">
        <x:f>B21&amp;"-"&amp;K21</x:f>
        <x:v>D3-1</x:v>
      </x:c>
      <x:c r="M21" s="80" t="str">
        <x:f>IF(AND(K21&lt;='游客输出器'!$B$11,OR(B21&lt;&gt;"D4",'游客输出器'!$B$4=4)),"输出","不输出")</x:f>
        <x:v>输出</x:v>
      </x:c>
      <x:c r="N21" s="80" t="n">
        <x:f>IF('智能体会话输入'!$C$29&gt;=0.5,ROUND(('路线模块库'!AC21-3)*'智能体会话输入'!$B$29*'智能体会话输入'!$C$29*1.5,0),0)</x:f>
        <x:v>14</x:v>
      </x:c>
      <x:c r="O21" s="80" t="n">
        <x:f>IF('智能体会话输入'!$C$30&gt;=0.5,ROUND(('路线模块库'!AD21-3)*'智能体会话输入'!$B$30*'智能体会话输入'!$C$30*1.5,0),0)</x:f>
        <x:v>0</x:v>
      </x:c>
      <x:c r="P21" s="80" t="n">
        <x:f>IF('智能体会话输入'!$C$31&gt;=0.5,ROUND(('路线模块库'!AE21-3)*'智能体会话输入'!$B$31*'智能体会话输入'!$C$31*1.5,0),0)</x:f>
        <x:v>-5</x:v>
      </x:c>
      <x:c r="Q21" s="80" t="n">
        <x:f>IF('智能体会话输入'!$C$32&gt;=0.5,ROUND(('路线模块库'!AF21-3)*'智能体会话输入'!$B$32*'智能体会话输入'!$C$32*1.5,0),0)</x:f>
        <x:v>0</x:v>
      </x:c>
      <x:c r="R21" s="80" t="n">
        <x:f>IF('智能体会话输入'!$C$33&gt;=0.5,ROUND(('路线模块库'!AG21-3)*'智能体会话输入'!$B$33*'智能体会话输入'!$C$33*1.5,0),0)</x:f>
        <x:v>6</x:v>
      </x:c>
      <x:c r="S21" s="80" t="n">
        <x:f>IF('智能体会话输入'!$C$34&gt;=0.5,ROUND(('路线模块库'!AH21-3)*'智能体会话输入'!$B$34*'智能体会话输入'!$C$34*1.5,0),0)</x:f>
        <x:v>11</x:v>
      </x:c>
      <x:c r="T21" s="80" t="n">
        <x:f>IF('智能体会话输入'!$C$35&gt;=0.5,ROUND(('路线模块库'!AI21-3)*'智能体会话输入'!$B$35*'智能体会话输入'!$C$35*1.5,0),0)</x:f>
        <x:v>0</x:v>
      </x:c>
      <x:c r="U21" s="80" t="n">
        <x:f>IF('智能体会话输入'!$C$36&gt;=0.5,ROUND(('路线模块库'!AJ21-3)*'智能体会话输入'!$B$36*'智能体会话输入'!$C$36*1.5,0),0)</x:f>
        <x:v>0</x:v>
      </x:c>
      <x:c r="V21" s="80" t="n">
        <x:f>SUM(N21:U21)</x:f>
        <x:v>26</x:v>
      </x:c>
      <x:c r="W21" s="77" t="str">
        <x:f>IF(MAX(N21:U21)&lt;=0,"基础画像",IF(MAX(N21:U21)=N21,"视觉奇观",IF(MAX(N21:U21)=O21,"历史理解",IF(MAX(N21:U21)=P21,"在地生活",IF(MAX(N21:U21)=Q21,"饮食互动",IF(MAX(N21:U21)=R21,"低摩擦",IF(MAX(N21:U21)=S21,"摄影创作",IF(MAX(N21:U21)=T21,"亲子教育","复游新鲜感"))))))))</x:f>
        <x:v>视觉奇观</x:v>
      </x:c>
      <x:c r="X21" s="77" t="str">
        <x:f>IF('路线模块库'!AL21="无","可直接输出","需确认："&amp;'路线模块库'!AL21)</x:f>
        <x:v>需确认：是否晕车|拍摄目的</x:v>
      </x:c>
    </x:row>
    <x:row r="22" ht="38" customHeight="1">
      <x:c r="A22" s="77" t="str">
        <x:f>'路线模块库'!A22</x:f>
        <x:v>RM17</x:v>
      </x:c>
      <x:c r="B22" s="77" t="str">
        <x:f>'路线模块库'!B22</x:f>
        <x:v>D3</x:v>
      </x:c>
      <x:c r="C22" s="77" t="str">
        <x:f>'路线模块库'!D22</x:f>
        <x:v>鹅岭高点复盘</x:v>
      </x:c>
      <x:c r="D22" s="77" t="str">
        <x:f>'路线模块库'!E22</x:f>
        <x:v>核心解释</x:v>
      </x:c>
      <x:c r="E22" s="80" t="n">
        <x:f>IF('游客输出器'!$B$5="首次经典",'路线模块库'!O22,IF('游客输出器'!$B$5="赛博摄影",'路线模块库'!P22,IF('游客输出器'!$B$5="文化历史",'路线模块库'!Q22,IF('游客输出器'!$B$5="美食生活",'路线模块库'!R22,IF('游客输出器'!$B$5="亲子轻松",'路线模块库'!S22,'路线模块库'!T22)))))</x:f>
        <x:v>3</x:v>
      </x:c>
      <x:c r="F22" s="80" t="n">
        <x:f>IF('游客输出器'!$B$6="低",IF('路线模块库'!L22=3,-120,IF(AND('路线模块库'!L22=2,'路线模块库'!K22&gt;120),-30,IF('路线模块库'!L22=2,-15,0))),IF('游客输出器'!$B$6="中",IF('路线模块库'!L22=3,-12,0),0))</x:f>
        <x:v>-15</x:v>
      </x:c>
      <x:c r="G22" s="80" t="n">
        <x:f>IF('游客输出器'!$B$7="雨天",('路线模块库'!M22-3)*15,IF('游客输出器'!$B$7="炎热",('路线模块库'!N22-3)*12,0))</x:f>
        <x:v>0</x:v>
      </x:c>
      <x:c r="H22" s="80" t="n">
        <x:f>IF(B22="D4",IF('游客输出器'!$B$4&lt;4,-100,IF('路线模块库'!C22='游客输出器'!$B$8,20,-60)),IF(VALUE(RIGHT(B22,1))&lt;='游客输出器'!$B$4,0,-100))</x:f>
        <x:v>0</x:v>
      </x:c>
      <x:c r="I22" s="80" t="n">
        <x:f>'路线模块库'!V22</x:f>
        <x:v>63</x:v>
      </x:c>
      <x:c r="J22" s="80" t="n">
        <x:f>I22+E22*12+F22+G22+H22+'路线模块库'!U22*3+V22+ROW()/10000</x:f>
        <x:v>115.0022</x:v>
      </x:c>
      <x:c r="K22" s="80" t="n">
        <x:f>COUNTIFS($B$6:$B$29,B22,$J$6:$J$29,"&gt;"&amp;J22)+1</x:f>
        <x:v>5</x:v>
      </x:c>
      <x:c r="L22" s="80" t="str">
        <x:f>B22&amp;"-"&amp;K22</x:f>
        <x:v>D3-5</x:v>
      </x:c>
      <x:c r="M22" s="80" t="str">
        <x:f>IF(AND(K22&lt;='游客输出器'!$B$11,OR(B22&lt;&gt;"D4",'游客输出器'!$B$4=4)),"输出","不输出")</x:f>
        <x:v>不输出</x:v>
      </x:c>
      <x:c r="N22" s="80" t="n">
        <x:f>IF('智能体会话输入'!$C$29&gt;=0.5,ROUND(('路线模块库'!AC22-3)*'智能体会话输入'!$B$29*'智能体会话输入'!$C$29*1.5,0),0)</x:f>
        <x:v>7</x:v>
      </x:c>
      <x:c r="O22" s="80" t="n">
        <x:f>IF('智能体会话输入'!$C$30&gt;=0.5,ROUND(('路线模块库'!AD22-3)*'智能体会话输入'!$B$30*'智能体会话输入'!$C$30*1.5,0),0)</x:f>
        <x:v>0</x:v>
      </x:c>
      <x:c r="P22" s="80" t="n">
        <x:f>IF('智能体会话输入'!$C$31&gt;=0.5,ROUND(('路线模块库'!AE22-3)*'智能体会话输入'!$B$31*'智能体会话输入'!$C$31*1.5,0),0)</x:f>
        <x:v>5</x:v>
      </x:c>
      <x:c r="Q22" s="80" t="n">
        <x:f>IF('智能体会话输入'!$C$32&gt;=0.5,ROUND(('路线模块库'!AF22-3)*'智能体会话输入'!$B$32*'智能体会话输入'!$C$32*1.5,0),0)</x:f>
        <x:v>0</x:v>
      </x:c>
      <x:c r="R22" s="80" t="n">
        <x:f>IF('智能体会话输入'!$C$33&gt;=0.5,ROUND(('路线模块库'!AG22-3)*'智能体会话输入'!$B$33*'智能体会话输入'!$C$33*1.5,0),0)</x:f>
        <x:v>0</x:v>
      </x:c>
      <x:c r="S22" s="80" t="n">
        <x:f>IF('智能体会话输入'!$C$34&gt;=0.5,ROUND(('路线模块库'!AH22-3)*'智能体会话输入'!$B$34*'智能体会话输入'!$C$34*1.5,0),0)</x:f>
        <x:v>5</x:v>
      </x:c>
      <x:c r="T22" s="80" t="n">
        <x:f>IF('智能体会话输入'!$C$35&gt;=0.5,ROUND(('路线模块库'!AI22-3)*'智能体会话输入'!$B$35*'智能体会话输入'!$C$35*1.5,0),0)</x:f>
        <x:v>0</x:v>
      </x:c>
      <x:c r="U22" s="80" t="n">
        <x:f>IF('智能体会话输入'!$C$36&gt;=0.5,ROUND(('路线模块库'!AJ22-3)*'智能体会话输入'!$B$36*'智能体会话输入'!$C$36*1.5,0),0)</x:f>
        <x:v>5</x:v>
      </x:c>
      <x:c r="V22" s="80" t="n">
        <x:f>SUM(N22:U22)</x:f>
        <x:v>22</x:v>
      </x:c>
      <x:c r="W22" s="77" t="str">
        <x:f>IF(MAX(N22:U22)&lt;=0,"基础画像",IF(MAX(N22:U22)=N22,"视觉奇观",IF(MAX(N22:U22)=O22,"历史理解",IF(MAX(N22:U22)=P22,"在地生活",IF(MAX(N22:U22)=Q22,"饮食互动",IF(MAX(N22:U22)=R22,"低摩擦",IF(MAX(N22:U22)=S22,"摄影创作",IF(MAX(N22:U22)=T22,"亲子教育","复游新鲜感"))))))))</x:f>
        <x:v>视觉奇观</x:v>
      </x:c>
      <x:c r="X22" s="77" t="str">
        <x:f>IF('路线模块库'!AL22="无","可直接输出","需确认："&amp;'路线模块库'!AL22)</x:f>
        <x:v>需确认：天气能见度</x:v>
      </x:c>
    </x:row>
    <x:row r="23" ht="38" customHeight="1">
      <x:c r="A23" s="77" t="str">
        <x:f>'路线模块库'!A23</x:f>
        <x:v>RM18</x:v>
      </x:c>
      <x:c r="B23" s="77" t="str">
        <x:f>'路线模块库'!B23</x:f>
        <x:v>D3</x:v>
      </x:c>
      <x:c r="C23" s="77" t="str">
        <x:f>'路线模块库'!D23</x:f>
        <x:v>川剧或地方表演</x:v>
      </x:c>
      <x:c r="D23" s="77" t="str">
        <x:f>'路线模块库'!E23</x:f>
        <x:v>付费体验</x:v>
      </x:c>
      <x:c r="E23" s="80" t="n">
        <x:f>IF('游客输出器'!$B$5="首次经典",'路线模块库'!O23,IF('游客输出器'!$B$5="赛博摄影",'路线模块库'!P23,IF('游客输出器'!$B$5="文化历史",'路线模块库'!Q23,IF('游客输出器'!$B$5="美食生活",'路线模块库'!R23,IF('游客输出器'!$B$5="亲子轻松",'路线模块库'!S23,'路线模块库'!T23)))))</x:f>
        <x:v>2</x:v>
      </x:c>
      <x:c r="F23" s="80" t="n">
        <x:f>IF('游客输出器'!$B$6="低",IF('路线模块库'!L23=3,-120,IF(AND('路线模块库'!L23=2,'路线模块库'!K23&gt;120),-30,IF('路线模块库'!L23=2,-15,0))),IF('游客输出器'!$B$6="中",IF('路线模块库'!L23=3,-12,0),0))</x:f>
        <x:v>0</x:v>
      </x:c>
      <x:c r="G23" s="80" t="n">
        <x:f>IF('游客输出器'!$B$7="雨天",('路线模块库'!M23-3)*15,IF('游客输出器'!$B$7="炎热",('路线模块库'!N23-3)*12,0))</x:f>
        <x:v>0</x:v>
      </x:c>
      <x:c r="H23" s="80" t="n">
        <x:f>IF(B23="D4",IF('游客输出器'!$B$4&lt;4,-100,IF('路线模块库'!C23='游客输出器'!$B$8,20,-60)),IF(VALUE(RIGHT(B23,1))&lt;='游客输出器'!$B$4,0,-100))</x:f>
        <x:v>0</x:v>
      </x:c>
      <x:c r="I23" s="80" t="n">
        <x:f>'路线模块库'!V23</x:f>
        <x:v>50</x:v>
      </x:c>
      <x:c r="J23" s="80" t="n">
        <x:f>I23+E23*12+F23+G23+H23+'路线模块库'!U23*3+V23+ROW()/10000</x:f>
        <x:v>110.0023</x:v>
      </x:c>
      <x:c r="K23" s="80" t="n">
        <x:f>COUNTIFS($B$6:$B$29,B23,$J$6:$J$29,"&gt;"&amp;J23)+1</x:f>
        <x:v>6</x:v>
      </x:c>
      <x:c r="L23" s="80" t="str">
        <x:f>B23&amp;"-"&amp;K23</x:f>
        <x:v>D3-6</x:v>
      </x:c>
      <x:c r="M23" s="80" t="str">
        <x:f>IF(AND(K23&lt;='游客输出器'!$B$11,OR(B23&lt;&gt;"D4",'游客输出器'!$B$4=4)),"输出","不输出")</x:f>
        <x:v>不输出</x:v>
      </x:c>
      <x:c r="N23" s="80" t="n">
        <x:f>IF('智能体会话输入'!$C$29&gt;=0.5,ROUND(('路线模块库'!AC23-3)*'智能体会话输入'!$B$29*'智能体会话输入'!$C$29*1.5,0),0)</x:f>
        <x:v>0</x:v>
      </x:c>
      <x:c r="O23" s="80" t="n">
        <x:f>IF('智能体会话输入'!$C$30&gt;=0.5,ROUND(('路线模块库'!AD23-3)*'智能体会话输入'!$B$30*'智能体会话输入'!$C$30*1.5,0),0)</x:f>
        <x:v>0</x:v>
      </x:c>
      <x:c r="P23" s="80" t="n">
        <x:f>IF('智能体会话输入'!$C$31&gt;=0.5,ROUND(('路线模块库'!AE23-3)*'智能体会话输入'!$B$31*'智能体会话输入'!$C$31*1.5,0),0)</x:f>
        <x:v>5</x:v>
      </x:c>
      <x:c r="Q23" s="80" t="n">
        <x:f>IF('智能体会话输入'!$C$32&gt;=0.5,ROUND(('路线模块库'!AF23-3)*'智能体会话输入'!$B$32*'智能体会话输入'!$C$32*1.5,0),0)</x:f>
        <x:v>0</x:v>
      </x:c>
      <x:c r="R23" s="80" t="n">
        <x:f>IF('智能体会话输入'!$C$33&gt;=0.5,ROUND(('路线模块库'!AG23-3)*'智能体会话输入'!$B$33*'智能体会话输入'!$C$33*1.5,0),0)</x:f>
        <x:v>11</x:v>
      </x:c>
      <x:c r="S23" s="80" t="n">
        <x:f>IF('智能体会话输入'!$C$34&gt;=0.5,ROUND(('路线模块库'!AH23-3)*'智能体会话输入'!$B$34*'智能体会话输入'!$C$34*1.5,0),0)</x:f>
        <x:v>0</x:v>
      </x:c>
      <x:c r="T23" s="80" t="n">
        <x:f>IF('智能体会话输入'!$C$35&gt;=0.5,ROUND(('路线模块库'!AI23-3)*'智能体会话输入'!$B$35*'智能体会话输入'!$C$35*1.5,0),0)</x:f>
        <x:v>0</x:v>
      </x:c>
      <x:c r="U23" s="80" t="n">
        <x:f>IF('智能体会话输入'!$C$36&gt;=0.5,ROUND(('路线模块库'!AJ23-3)*'智能体会话输入'!$B$36*'智能体会话输入'!$C$36*1.5,0),0)</x:f>
        <x:v>5</x:v>
      </x:c>
      <x:c r="V23" s="80" t="n">
        <x:f>SUM(N23:U23)</x:f>
        <x:v>21</x:v>
      </x:c>
      <x:c r="W23" s="77" t="str">
        <x:f>IF(MAX(N23:U23)&lt;=0,"基础画像",IF(MAX(N23:U23)=N23,"视觉奇观",IF(MAX(N23:U23)=O23,"历史理解",IF(MAX(N23:U23)=P23,"在地生活",IF(MAX(N23:U23)=Q23,"饮食互动",IF(MAX(N23:U23)=R23,"低摩擦",IF(MAX(N23:U23)=S23,"摄影创作",IF(MAX(N23:U23)=T23,"亲子教育","复游新鲜感"))))))))</x:f>
        <x:v>低摩擦</x:v>
      </x:c>
      <x:c r="X23" s="77" t="str">
        <x:f>IF('路线模块库'!AL23="无","可直接输出","需确认："&amp;'路线模块库'!AL23)</x:f>
        <x:v>需确认：演出排期|儿童年龄|拍摄许可</x:v>
      </x:c>
    </x:row>
    <x:row r="24" ht="38" customHeight="1">
      <x:c r="A24" s="77" t="str">
        <x:f>'路线模块库'!A24</x:f>
        <x:v>RM19</x:v>
      </x:c>
      <x:c r="B24" s="77" t="str">
        <x:f>'路线模块库'!B24</x:f>
        <x:v>D4</x:v>
      </x:c>
      <x:c r="C24" s="77" t="str">
        <x:f>'路线模块库'!D24</x:f>
        <x:v>开埠遗址与南岸更新</x:v>
      </x:c>
      <x:c r="D24" s="77" t="str">
        <x:f>'路线模块库'!E24</x:f>
        <x:v>核心解释</x:v>
      </x:c>
      <x:c r="E24" s="80" t="n">
        <x:f>IF('游客输出器'!$B$5="首次经典",'路线模块库'!O24,IF('游客输出器'!$B$5="赛博摄影",'路线模块库'!P24,IF('游客输出器'!$B$5="文化历史",'路线模块库'!Q24,IF('游客输出器'!$B$5="美食生活",'路线模块库'!R24,IF('游客输出器'!$B$5="亲子轻松",'路线模块库'!S24,'路线模块库'!T24)))))</x:f>
        <x:v>3</x:v>
      </x:c>
      <x:c r="F24" s="80" t="n">
        <x:f>IF('游客输出器'!$B$6="低",IF('路线模块库'!L24=3,-120,IF(AND('路线模块库'!L24=2,'路线模块库'!K24&gt;120),-30,IF('路线模块库'!L24=2,-15,0))),IF('游客输出器'!$B$6="中",IF('路线模块库'!L24=3,-12,0),0))</x:f>
        <x:v>-30</x:v>
      </x:c>
      <x:c r="G24" s="80" t="n">
        <x:f>IF('游客输出器'!$B$7="雨天",('路线模块库'!M24-3)*15,IF('游客输出器'!$B$7="炎热",('路线模块库'!N24-3)*12,0))</x:f>
        <x:v>0</x:v>
      </x:c>
      <x:c r="H24" s="80" t="n">
        <x:f>IF(B24="D4",IF('游客输出器'!$B$4&lt;4,-100,IF('路线模块库'!C24='游客输出器'!$B$8,20,-60)),IF(VALUE(RIGHT(B24,1))&lt;='游客输出器'!$B$4,0,-100))</x:f>
        <x:v>-100</x:v>
      </x:c>
      <x:c r="I24" s="80" t="n">
        <x:f>'路线模块库'!V24</x:f>
        <x:v>92</x:v>
      </x:c>
      <x:c r="J24" s="80" t="n">
        <x:f>I24+E24*12+F24+G24+H24+'路线模块库'!U24*3+V24+ROW()/10000</x:f>
        <x:v>40.0024</x:v>
      </x:c>
      <x:c r="K24" s="80" t="n">
        <x:f>COUNTIFS($B$6:$B$29,B24,$J$6:$J$29,"&gt;"&amp;J24)+1</x:f>
        <x:v>1</x:v>
      </x:c>
      <x:c r="L24" s="80" t="str">
        <x:f>B24&amp;"-"&amp;K24</x:f>
        <x:v>D4-1</x:v>
      </x:c>
      <x:c r="M24" s="80" t="str">
        <x:f>IF(AND(K24&lt;='游客输出器'!$B$11,OR(B24&lt;&gt;"D4",'游客输出器'!$B$4=4)),"输出","不输出")</x:f>
        <x:v>不输出</x:v>
      </x:c>
      <x:c r="N24" s="80" t="n">
        <x:f>IF('智能体会话输入'!$C$29&gt;=0.5,ROUND(('路线模块库'!AC24-3)*'智能体会话输入'!$B$29*'智能体会话输入'!$C$29*1.5,0),0)</x:f>
        <x:v>7</x:v>
      </x:c>
      <x:c r="O24" s="80" t="n">
        <x:f>IF('智能体会话输入'!$C$30&gt;=0.5,ROUND(('路线模块库'!AD24-3)*'智能体会话输入'!$B$30*'智能体会话输入'!$C$30*1.5,0),0)</x:f>
        <x:v>0</x:v>
      </x:c>
      <x:c r="P24" s="80" t="n">
        <x:f>IF('智能体会话输入'!$C$31&gt;=0.5,ROUND(('路线模块库'!AE24-3)*'智能体会话输入'!$B$31*'智能体会话输入'!$C$31*1.5,0),0)</x:f>
        <x:v>5</x:v>
      </x:c>
      <x:c r="Q24" s="80" t="n">
        <x:f>IF('智能体会话输入'!$C$32&gt;=0.5,ROUND(('路线模块库'!AF24-3)*'智能体会话输入'!$B$32*'智能体会话输入'!$C$32*1.5,0),0)</x:f>
        <x:v>0</x:v>
      </x:c>
      <x:c r="R24" s="80" t="n">
        <x:f>IF('智能体会话输入'!$C$33&gt;=0.5,ROUND(('路线模块库'!AG24-3)*'智能体会话输入'!$B$33*'智能体会话输入'!$C$33*1.5,0),0)</x:f>
        <x:v>0</x:v>
      </x:c>
      <x:c r="S24" s="80" t="n">
        <x:f>IF('智能体会话输入'!$C$34&gt;=0.5,ROUND(('路线模块库'!AH24-3)*'智能体会话输入'!$B$34*'智能体会话输入'!$C$34*1.5,0),0)</x:f>
        <x:v>5</x:v>
      </x:c>
      <x:c r="T24" s="80" t="n">
        <x:f>IF('智能体会话输入'!$C$35&gt;=0.5,ROUND(('路线模块库'!AI24-3)*'智能体会话输入'!$B$35*'智能体会话输入'!$C$35*1.5,0),0)</x:f>
        <x:v>0</x:v>
      </x:c>
      <x:c r="U24" s="80" t="n">
        <x:f>IF('智能体会话输入'!$C$36&gt;=0.5,ROUND(('路线模块库'!AJ24-3)*'智能体会话输入'!$B$36*'智能体会话输入'!$C$36*1.5,0),0)</x:f>
        <x:v>10</x:v>
      </x:c>
      <x:c r="V24" s="80" t="n">
        <x:f>SUM(N24:U24)</x:f>
        <x:v>27</x:v>
      </x:c>
      <x:c r="W24" s="77" t="str">
        <x:f>IF(MAX(N24:U24)&lt;=0,"基础画像",IF(MAX(N24:U24)=N24,"视觉奇观",IF(MAX(N24:U24)=O24,"历史理解",IF(MAX(N24:U24)=P24,"在地生活",IF(MAX(N24:U24)=Q24,"饮食互动",IF(MAX(N24:U24)=R24,"低摩擦",IF(MAX(N24:U24)=S24,"摄影创作",IF(MAX(N24:U24)=T24,"亲子教育","复游新鲜感"))))))))</x:f>
        <x:v>复游新鲜感</x:v>
      </x:c>
      <x:c r="X24" s="77" t="str">
        <x:f>IF('路线模块库'!AL24="无","可直接输出","需确认："&amp;'路线模块库'!AL24)</x:f>
        <x:v>需确认：当天开放与施工</x:v>
      </x:c>
    </x:row>
    <x:row r="25" ht="38" customHeight="1">
      <x:c r="A25" s="77" t="str">
        <x:f>'路线模块库'!A25</x:f>
        <x:v>RM20</x:v>
      </x:c>
      <x:c r="B25" s="77" t="str">
        <x:f>'路线模块库'!B25</x:f>
        <x:v>D4</x:v>
      </x:c>
      <x:c r="C25" s="77" t="str">
        <x:f>'路线模块库'!D25</x:f>
        <x:v>黄葛古道下行</x:v>
      </x:c>
      <x:c r="D25" s="77" t="str">
        <x:f>'路线模块库'!E25</x:f>
        <x:v>核心解释</x:v>
      </x:c>
      <x:c r="E25" s="80" t="n">
        <x:f>IF('游客输出器'!$B$5="首次经典",'路线模块库'!O25,IF('游客输出器'!$B$5="赛博摄影",'路线模块库'!P25,IF('游客输出器'!$B$5="文化历史",'路线模块库'!Q25,IF('游客输出器'!$B$5="美食生活",'路线模块库'!R25,IF('游客输出器'!$B$5="亲子轻松",'路线模块库'!S25,'路线模块库'!T25)))))</x:f>
        <x:v>2</x:v>
      </x:c>
      <x:c r="F25" s="80" t="n">
        <x:f>IF('游客输出器'!$B$6="低",IF('路线模块库'!L25=3,-120,IF(AND('路线模块库'!L25=2,'路线模块库'!K25&gt;120),-30,IF('路线模块库'!L25=2,-15,0))),IF('游客输出器'!$B$6="中",IF('路线模块库'!L25=3,-12,0),0))</x:f>
        <x:v>-120</x:v>
      </x:c>
      <x:c r="G25" s="80" t="n">
        <x:f>IF('游客输出器'!$B$7="雨天",('路线模块库'!M25-3)*15,IF('游客输出器'!$B$7="炎热",('路线模块库'!N25-3)*12,0))</x:f>
        <x:v>0</x:v>
      </x:c>
      <x:c r="H25" s="80" t="n">
        <x:f>IF(B25="D4",IF('游客输出器'!$B$4&lt;4,-100,IF('路线模块库'!C25='游客输出器'!$B$8,20,-60)),IF(VALUE(RIGHT(B25,1))&lt;='游客输出器'!$B$4,0,-100))</x:f>
        <x:v>-100</x:v>
      </x:c>
      <x:c r="I25" s="80" t="n">
        <x:f>'路线模块库'!V25</x:f>
        <x:v>88</x:v>
      </x:c>
      <x:c r="J25" s="80" t="n">
        <x:f>I25+E25*12+F25+G25+H25+'路线模块库'!U25*3+V25+ROW()/10000</x:f>
        <x:v>-71.9975</x:v>
      </x:c>
      <x:c r="K25" s="80" t="n">
        <x:f>COUNTIFS($B$6:$B$29,B25,$J$6:$J$29,"&gt;"&amp;J25)+1</x:f>
        <x:v>6</x:v>
      </x:c>
      <x:c r="L25" s="80" t="str">
        <x:f>B25&amp;"-"&amp;K25</x:f>
        <x:v>D4-6</x:v>
      </x:c>
      <x:c r="M25" s="80" t="str">
        <x:f>IF(AND(K25&lt;='游客输出器'!$B$11,OR(B25&lt;&gt;"D4",'游客输出器'!$B$4=4)),"输出","不输出")</x:f>
        <x:v>不输出</x:v>
      </x:c>
      <x:c r="N25" s="80" t="n">
        <x:f>IF('智能体会话输入'!$C$29&gt;=0.5,ROUND(('路线模块库'!AC25-3)*'智能体会话输入'!$B$29*'智能体会话输入'!$C$29*1.5,0),0)</x:f>
        <x:v>7</x:v>
      </x:c>
      <x:c r="O25" s="80" t="n">
        <x:f>IF('智能体会话输入'!$C$30&gt;=0.5,ROUND(('路线模块库'!AD25-3)*'智能体会话输入'!$B$30*'智能体会话输入'!$C$30*1.5,0),0)</x:f>
        <x:v>0</x:v>
      </x:c>
      <x:c r="P25" s="80" t="n">
        <x:f>IF('智能体会话输入'!$C$31&gt;=0.5,ROUND(('路线模块库'!AE25-3)*'智能体会话输入'!$B$31*'智能体会话输入'!$C$31*1.5,0),0)</x:f>
        <x:v>10</x:v>
      </x:c>
      <x:c r="Q25" s="80" t="n">
        <x:f>IF('智能体会话输入'!$C$32&gt;=0.5,ROUND(('路线模块库'!AF25-3)*'智能体会话输入'!$B$32*'智能体会话输入'!$C$32*1.5,0),0)</x:f>
        <x:v>0</x:v>
      </x:c>
      <x:c r="R25" s="80" t="n">
        <x:f>IF('智能体会话输入'!$C$33&gt;=0.5,ROUND(('路线模块库'!AG25-3)*'智能体会话输入'!$B$33*'智能体会话输入'!$C$33*1.5,0),0)</x:f>
        <x:v>-11</x:v>
      </x:c>
      <x:c r="S25" s="80" t="n">
        <x:f>IF('智能体会话输入'!$C$34&gt;=0.5,ROUND(('路线模块库'!AH25-3)*'智能体会话输入'!$B$34*'智能体会话输入'!$C$34*1.5,0),0)</x:f>
        <x:v>5</x:v>
      </x:c>
      <x:c r="T25" s="80" t="n">
        <x:f>IF('智能体会话输入'!$C$35&gt;=0.5,ROUND(('路线模块库'!AI25-3)*'智能体会话输入'!$B$35*'智能体会话输入'!$C$35*1.5,0),0)</x:f>
        <x:v>0</x:v>
      </x:c>
      <x:c r="U25" s="80" t="n">
        <x:f>IF('智能体会话输入'!$C$36&gt;=0.5,ROUND(('路线模块库'!AJ25-3)*'智能体会话输入'!$B$36*'智能体会话输入'!$C$36*1.5,0),0)</x:f>
        <x:v>10</x:v>
      </x:c>
      <x:c r="V25" s="80" t="n">
        <x:f>SUM(N25:U25)</x:f>
        <x:v>21</x:v>
      </x:c>
      <x:c r="W25" s="77" t="str">
        <x:f>IF(MAX(N25:U25)&lt;=0,"基础画像",IF(MAX(N25:U25)=N25,"视觉奇观",IF(MAX(N25:U25)=O25,"历史理解",IF(MAX(N25:U25)=P25,"在地生活",IF(MAX(N25:U25)=Q25,"饮食互动",IF(MAX(N25:U25)=R25,"低摩擦",IF(MAX(N25:U25)=S25,"摄影创作",IF(MAX(N25:U25)=T25,"亲子教育","复游新鲜感"))))))))</x:f>
        <x:v>在地生活</x:v>
      </x:c>
      <x:c r="X25" s="77" t="str">
        <x:f>IF('路线模块库'!AL25="无","可直接输出","需确认："&amp;'路线模块库'!AL25)</x:f>
        <x:v>需确认：连续台阶能力|鞋具|天气</x:v>
      </x:c>
    </x:row>
    <x:row r="26" ht="38" customHeight="1">
      <x:c r="A26" s="77" t="str">
        <x:f>'路线模块库'!A26</x:f>
        <x:v>RM21</x:v>
      </x:c>
      <x:c r="B26" s="77" t="str">
        <x:f>'路线模块库'!B26</x:f>
        <x:v>D4</x:v>
      </x:c>
      <x:c r="C26" s="77" t="str">
        <x:f>'路线模块库'!D26</x:f>
        <x:v>南岸夜景收束</x:v>
      </x:c>
      <x:c r="D26" s="77" t="str">
        <x:f>'路线模块库'!E26</x:f>
        <x:v>引流钩子</x:v>
      </x:c>
      <x:c r="E26" s="80" t="n">
        <x:f>IF('游客输出器'!$B$5="首次经典",'路线模块库'!O26,IF('游客输出器'!$B$5="赛博摄影",'路线模块库'!P26,IF('游客输出器'!$B$5="文化历史",'路线模块库'!Q26,IF('游客输出器'!$B$5="美食生活",'路线模块库'!R26,IF('游客输出器'!$B$5="亲子轻松",'路线模块库'!S26,'路线模块库'!T26)))))</x:f>
        <x:v>3</x:v>
      </x:c>
      <x:c r="F26" s="80" t="n">
        <x:f>IF('游客输出器'!$B$6="低",IF('路线模块库'!L26=3,-120,IF(AND('路线模块库'!L26=2,'路线模块库'!K26&gt;120),-30,IF('路线模块库'!L26=2,-15,0))),IF('游客输出器'!$B$6="中",IF('路线模块库'!L26=3,-12,0),0))</x:f>
        <x:v>0</x:v>
      </x:c>
      <x:c r="G26" s="80" t="n">
        <x:f>IF('游客输出器'!$B$7="雨天",('路线模块库'!M26-3)*15,IF('游客输出器'!$B$7="炎热",('路线模块库'!N26-3)*12,0))</x:f>
        <x:v>0</x:v>
      </x:c>
      <x:c r="H26" s="80" t="n">
        <x:f>IF(B26="D4",IF('游客输出器'!$B$4&lt;4,-100,IF('路线模块库'!C26='游客输出器'!$B$8,20,-60)),IF(VALUE(RIGHT(B26,1))&lt;='游客输出器'!$B$4,0,-100))</x:f>
        <x:v>-100</x:v>
      </x:c>
      <x:c r="I26" s="80" t="n">
        <x:f>'路线模块库'!V26</x:f>
        <x:v>66</x:v>
      </x:c>
      <x:c r="J26" s="80" t="n">
        <x:f>I26+E26*12+F26+G26+H26+'路线模块库'!U26*3+V26+ROW()/10000</x:f>
        <x:v>34.0026</x:v>
      </x:c>
      <x:c r="K26" s="80" t="n">
        <x:f>COUNTIFS($B$6:$B$29,B26,$J$6:$J$29,"&gt;"&amp;J26)+1</x:f>
        <x:v>4</x:v>
      </x:c>
      <x:c r="L26" s="80" t="str">
        <x:f>B26&amp;"-"&amp;K26</x:f>
        <x:v>D4-4</x:v>
      </x:c>
      <x:c r="M26" s="80" t="str">
        <x:f>IF(AND(K26&lt;='游客输出器'!$B$11,OR(B26&lt;&gt;"D4",'游客输出器'!$B$4=4)),"输出","不输出")</x:f>
        <x:v>不输出</x:v>
      </x:c>
      <x:c r="N26" s="80" t="n">
        <x:f>IF('智能体会话输入'!$C$29&gt;=0.5,ROUND(('路线模块库'!AC26-3)*'智能体会话输入'!$B$29*'智能体会话输入'!$C$29*1.5,0),0)</x:f>
        <x:v>14</x:v>
      </x:c>
      <x:c r="O26" s="80" t="n">
        <x:f>IF('智能体会话输入'!$C$30&gt;=0.5,ROUND(('路线模块库'!AD26-3)*'智能体会话输入'!$B$30*'智能体会话输入'!$C$30*1.5,0),0)</x:f>
        <x:v>0</x:v>
      </x:c>
      <x:c r="P26" s="80" t="n">
        <x:f>IF('智能体会话输入'!$C$31&gt;=0.5,ROUND(('路线模块库'!AE26-3)*'智能体会话输入'!$B$31*'智能体会话输入'!$C$31*1.5,0),0)</x:f>
        <x:v>-5</x:v>
      </x:c>
      <x:c r="Q26" s="80" t="n">
        <x:f>IF('智能体会话输入'!$C$32&gt;=0.5,ROUND(('路线模块库'!AF26-3)*'智能体会话输入'!$B$32*'智能体会话输入'!$C$32*1.5,0),0)</x:f>
        <x:v>0</x:v>
      </x:c>
      <x:c r="R26" s="80" t="n">
        <x:f>IF('智能体会话输入'!$C$33&gt;=0.5,ROUND(('路线模块库'!AG26-3)*'智能体会话输入'!$B$33*'智能体会话输入'!$C$33*1.5,0),0)</x:f>
        <x:v>0</x:v>
      </x:c>
      <x:c r="S26" s="80" t="n">
        <x:f>IF('智能体会话输入'!$C$34&gt;=0.5,ROUND(('路线模块库'!AH26-3)*'智能体会话输入'!$B$34*'智能体会话输入'!$C$34*1.5,0),0)</x:f>
        <x:v>11</x:v>
      </x:c>
      <x:c r="T26" s="80" t="n">
        <x:f>IF('智能体会话输入'!$C$35&gt;=0.5,ROUND(('路线模块库'!AI26-3)*'智能体会话输入'!$B$35*'智能体会话输入'!$C$35*1.5,0),0)</x:f>
        <x:v>0</x:v>
      </x:c>
      <x:c r="U26" s="80" t="n">
        <x:f>IF('智能体会话输入'!$C$36&gt;=0.5,ROUND(('路线模块库'!AJ26-3)*'智能体会话输入'!$B$36*'智能体会话输入'!$C$36*1.5,0),0)</x:f>
        <x:v>0</x:v>
      </x:c>
      <x:c r="V26" s="80" t="n">
        <x:f>SUM(N26:U26)</x:f>
        <x:v>20</x:v>
      </x:c>
      <x:c r="W26" s="77" t="str">
        <x:f>IF(MAX(N26:U26)&lt;=0,"基础画像",IF(MAX(N26:U26)=N26,"视觉奇观",IF(MAX(N26:U26)=O26,"历史理解",IF(MAX(N26:U26)=P26,"在地生活",IF(MAX(N26:U26)=Q26,"饮食互动",IF(MAX(N26:U26)=R26,"低摩擦",IF(MAX(N26:U26)=S26,"摄影创作",IF(MAX(N26:U26)=T26,"亲子教育","复游新鲜感"))))))))</x:f>
        <x:v>视觉奇观</x:v>
      </x:c>
      <x:c r="X26" s="77" t="str">
        <x:f>IF('路线模块库'!AL26="无","可直接输出","需确认："&amp;'路线模块库'!AL26)</x:f>
        <x:v>需确认：夜间结束时间|排队容忍度</x:v>
      </x:c>
    </x:row>
    <x:row r="27" ht="38" customHeight="1">
      <x:c r="A27" s="77" t="str">
        <x:f>'路线模块库'!A27</x:f>
        <x:v>RM22</x:v>
      </x:c>
      <x:c r="B27" s="77" t="str">
        <x:f>'路线模块库'!B27</x:f>
        <x:v>D4</x:v>
      </x:c>
      <x:c r="C27" s="77" t="str">
        <x:f>'路线模块库'!D27</x:f>
        <x:v>艺术学院与社区表面</x:v>
      </x:c>
      <x:c r="D27" s="77" t="str">
        <x:f>'路线模块库'!E27</x:f>
        <x:v>核心解释</x:v>
      </x:c>
      <x:c r="E27" s="80" t="n">
        <x:f>IF('游客输出器'!$B$5="首次经典",'路线模块库'!O27,IF('游客输出器'!$B$5="赛博摄影",'路线模块库'!P27,IF('游客输出器'!$B$5="文化历史",'路线模块库'!Q27,IF('游客输出器'!$B$5="美食生活",'路线模块库'!R27,IF('游客输出器'!$B$5="亲子轻松",'路线模块库'!S27,'路线模块库'!T27)))))</x:f>
        <x:v>2</x:v>
      </x:c>
      <x:c r="F27" s="80" t="n">
        <x:f>IF('游客输出器'!$B$6="低",IF('路线模块库'!L27=3,-120,IF(AND('路线模块库'!L27=2,'路线模块库'!K27&gt;120),-30,IF('路线模块库'!L27=2,-15,0))),IF('游客输出器'!$B$6="中",IF('路线模块库'!L27=3,-12,0),0))</x:f>
        <x:v>-15</x:v>
      </x:c>
      <x:c r="G27" s="80" t="n">
        <x:f>IF('游客输出器'!$B$7="雨天",('路线模块库'!M27-3)*15,IF('游客输出器'!$B$7="炎热",('路线模块库'!N27-3)*12,0))</x:f>
        <x:v>0</x:v>
      </x:c>
      <x:c r="H27" s="80" t="n">
        <x:f>IF(B27="D4",IF('游客输出器'!$B$4&lt;4,-100,IF('路线模块库'!C27='游客输出器'!$B$8,20,-60)),IF(VALUE(RIGHT(B27,1))&lt;='游客输出器'!$B$4,0,-100))</x:f>
        <x:v>-100</x:v>
      </x:c>
      <x:c r="I27" s="80" t="n">
        <x:f>'路线模块库'!V27</x:f>
        <x:v>78</x:v>
      </x:c>
      <x:c r="J27" s="80" t="n">
        <x:f>I27+E27*12+F27+G27+H27+'路线模块库'!U27*3+V27+ROW()/10000</x:f>
        <x:v>37.0027</x:v>
      </x:c>
      <x:c r="K27" s="80" t="n">
        <x:f>COUNTIFS($B$6:$B$29,B27,$J$6:$J$29,"&gt;"&amp;J27)+1</x:f>
        <x:v>2</x:v>
      </x:c>
      <x:c r="L27" s="80" t="str">
        <x:f>B27&amp;"-"&amp;K27</x:f>
        <x:v>D4-2</x:v>
      </x:c>
      <x:c r="M27" s="80" t="str">
        <x:f>IF(AND(K27&lt;='游客输出器'!$B$11,OR(B27&lt;&gt;"D4",'游客输出器'!$B$4=4)),"输出","不输出")</x:f>
        <x:v>不输出</x:v>
      </x:c>
      <x:c r="N27" s="80" t="n">
        <x:f>IF('智能体会话输入'!$C$29&gt;=0.5,ROUND(('路线模块库'!AC27-3)*'智能体会话输入'!$B$29*'智能体会话输入'!$C$29*1.5,0),0)</x:f>
        <x:v>7</x:v>
      </x:c>
      <x:c r="O27" s="80" t="n">
        <x:f>IF('智能体会话输入'!$C$30&gt;=0.5,ROUND(('路线模块库'!AD27-3)*'智能体会话输入'!$B$30*'智能体会话输入'!$C$30*1.5,0),0)</x:f>
        <x:v>0</x:v>
      </x:c>
      <x:c r="P27" s="80" t="n">
        <x:f>IF('智能体会话输入'!$C$31&gt;=0.5,ROUND(('路线模块库'!AE27-3)*'智能体会话输入'!$B$31*'智能体会话输入'!$C$31*1.5,0),0)</x:f>
        <x:v>10</x:v>
      </x:c>
      <x:c r="Q27" s="80" t="n">
        <x:f>IF('智能体会话输入'!$C$32&gt;=0.5,ROUND(('路线模块库'!AF27-3)*'智能体会话输入'!$B$32*'智能体会话输入'!$C$32*1.5,0),0)</x:f>
        <x:v>0</x:v>
      </x:c>
      <x:c r="R27" s="80" t="n">
        <x:f>IF('智能体会话输入'!$C$33&gt;=0.5,ROUND(('路线模块库'!AG27-3)*'智能体会话输入'!$B$33*'智能体会话输入'!$C$33*1.5,0),0)</x:f>
        <x:v>0</x:v>
      </x:c>
      <x:c r="S27" s="80" t="n">
        <x:f>IF('智能体会话输入'!$C$34&gt;=0.5,ROUND(('路线模块库'!AH27-3)*'智能体会话输入'!$B$34*'智能体会话输入'!$C$34*1.5,0),0)</x:f>
        <x:v>11</x:v>
      </x:c>
      <x:c r="T27" s="80" t="n">
        <x:f>IF('智能体会话输入'!$C$35&gt;=0.5,ROUND(('路线模块库'!AI27-3)*'智能体会话输入'!$B$35*'智能体会话输入'!$C$35*1.5,0),0)</x:f>
        <x:v>0</x:v>
      </x:c>
      <x:c r="U27" s="80" t="n">
        <x:f>IF('智能体会话输入'!$C$36&gt;=0.5,ROUND(('路线模块库'!AJ27-3)*'智能体会话输入'!$B$36*'智能体会话输入'!$C$36*1.5,0),0)</x:f>
        <x:v>10</x:v>
      </x:c>
      <x:c r="V27" s="80" t="n">
        <x:f>SUM(N27:U27)</x:f>
        <x:v>38</x:v>
      </x:c>
      <x:c r="W27" s="77" t="str">
        <x:f>IF(MAX(N27:U27)&lt;=0,"基础画像",IF(MAX(N27:U27)=N27,"视觉奇观",IF(MAX(N27:U27)=O27,"历史理解",IF(MAX(N27:U27)=P27,"在地生活",IF(MAX(N27:U27)=Q27,"饮食互动",IF(MAX(N27:U27)=R27,"低摩擦",IF(MAX(N27:U27)=S27,"摄影创作",IF(MAX(N27:U27)=T27,"亲子教育","复游新鲜感"))))))))</x:f>
        <x:v>摄影创作</x:v>
      </x:c>
      <x:c r="X27" s="77" t="str">
        <x:f>IF('路线模块库'!AL27="无","可直接输出","需确认："&amp;'路线模块库'!AL27)</x:f>
        <x:v>需确认：拍摄用途|展览开放</x:v>
      </x:c>
    </x:row>
    <x:row r="28" ht="38" customHeight="1">
      <x:c r="A28" s="77" t="str">
        <x:f>'路线模块库'!A28</x:f>
        <x:v>RM23</x:v>
      </x:c>
      <x:c r="B28" s="77" t="str">
        <x:f>'路线模块库'!B28</x:f>
        <x:v>D4</x:v>
      </x:c>
      <x:c r="C28" s="77" t="str">
        <x:f>'路线模块库'!D28</x:f>
        <x:v>茶馆社会空间</x:v>
      </x:c>
      <x:c r="D28" s="77" t="str">
        <x:f>'路线模块库'!E28</x:f>
        <x:v>真实生活/付费体验</x:v>
      </x:c>
      <x:c r="E28" s="80" t="n">
        <x:f>IF('游客输出器'!$B$5="首次经典",'路线模块库'!O28,IF('游客输出器'!$B$5="赛博摄影",'路线模块库'!P28,IF('游客输出器'!$B$5="文化历史",'路线模块库'!Q28,IF('游客输出器'!$B$5="美食生活",'路线模块库'!R28,IF('游客输出器'!$B$5="亲子轻松",'路线模块库'!S28,'路线模块库'!T28)))))</x:f>
        <x:v>2</x:v>
      </x:c>
      <x:c r="F28" s="80" t="n">
        <x:f>IF('游客输出器'!$B$6="低",IF('路线模块库'!L28=3,-120,IF(AND('路线模块库'!L28=2,'路线模块库'!K28&gt;120),-30,IF('路线模块库'!L28=2,-15,0))),IF('游客输出器'!$B$6="中",IF('路线模块库'!L28=3,-12,0),0))</x:f>
        <x:v>0</x:v>
      </x:c>
      <x:c r="G28" s="80" t="n">
        <x:f>IF('游客输出器'!$B$7="雨天",('路线模块库'!M28-3)*15,IF('游客输出器'!$B$7="炎热",('路线模块库'!N28-3)*12,0))</x:f>
        <x:v>0</x:v>
      </x:c>
      <x:c r="H28" s="80" t="n">
        <x:f>IF(B28="D4",IF('游客输出器'!$B$4&lt;4,-100,IF('路线模块库'!C28='游客输出器'!$B$8,20,-60)),IF(VALUE(RIGHT(B28,1))&lt;='游客输出器'!$B$4,0,-100))</x:f>
        <x:v>-100</x:v>
      </x:c>
      <x:c r="I28" s="80" t="n">
        <x:f>'路线模块库'!V28</x:f>
        <x:v>72</x:v>
      </x:c>
      <x:c r="J28" s="80" t="n">
        <x:f>I28+E28*12+F28+G28+H28+'路线模块库'!U28*3+V28+ROW()/10000</x:f>
        <x:v>29.0028</x:v>
      </x:c>
      <x:c r="K28" s="80" t="n">
        <x:f>COUNTIFS($B$6:$B$29,B28,$J$6:$J$29,"&gt;"&amp;J28)+1</x:f>
        <x:v>5</x:v>
      </x:c>
      <x:c r="L28" s="80" t="str">
        <x:f>B28&amp;"-"&amp;K28</x:f>
        <x:v>D4-5</x:v>
      </x:c>
      <x:c r="M28" s="80" t="str">
        <x:f>IF(AND(K28&lt;='游客输出器'!$B$11,OR(B28&lt;&gt;"D4",'游客输出器'!$B$4=4)),"输出","不输出")</x:f>
        <x:v>不输出</x:v>
      </x:c>
      <x:c r="N28" s="80" t="n">
        <x:f>IF('智能体会话输入'!$C$29&gt;=0.5,ROUND(('路线模块库'!AC28-3)*'智能体会话输入'!$B$29*'智能体会话输入'!$C$29*1.5,0),0)</x:f>
        <x:v>-7</x:v>
      </x:c>
      <x:c r="O28" s="80" t="n">
        <x:f>IF('智能体会话输入'!$C$30&gt;=0.5,ROUND(('路线模块库'!AD28-3)*'智能体会话输入'!$B$30*'智能体会话输入'!$C$30*1.5,0),0)</x:f>
        <x:v>0</x:v>
      </x:c>
      <x:c r="P28" s="80" t="n">
        <x:f>IF('智能体会话输入'!$C$31&gt;=0.5,ROUND(('路线模块库'!AE28-3)*'智能体会话输入'!$B$31*'智能体会话输入'!$C$31*1.5,0),0)</x:f>
        <x:v>10</x:v>
      </x:c>
      <x:c r="Q28" s="80" t="n">
        <x:f>IF('智能体会话输入'!$C$32&gt;=0.5,ROUND(('路线模块库'!AF28-3)*'智能体会话输入'!$B$32*'智能体会话输入'!$C$32*1.5,0),0)</x:f>
        <x:v>0</x:v>
      </x:c>
      <x:c r="R28" s="80" t="n">
        <x:f>IF('智能体会话输入'!$C$33&gt;=0.5,ROUND(('路线模块库'!AG28-3)*'智能体会话输入'!$B$33*'智能体会话输入'!$C$33*1.5,0),0)</x:f>
        <x:v>0</x:v>
      </x:c>
      <x:c r="S28" s="80" t="n">
        <x:f>IF('智能体会话输入'!$C$34&gt;=0.5,ROUND(('路线模块库'!AH28-3)*'智能体会话输入'!$B$34*'智能体会话输入'!$C$34*1.5,0),0)</x:f>
        <x:v>5</x:v>
      </x:c>
      <x:c r="T28" s="80" t="n">
        <x:f>IF('智能体会话输入'!$C$35&gt;=0.5,ROUND(('路线模块库'!AI28-3)*'智能体会话输入'!$B$35*'智能体会话输入'!$C$35*1.5,0),0)</x:f>
        <x:v>0</x:v>
      </x:c>
      <x:c r="U28" s="80" t="n">
        <x:f>IF('智能体会话输入'!$C$36&gt;=0.5,ROUND(('路线模块库'!AJ28-3)*'智能体会话输入'!$B$36*'智能体会话输入'!$C$36*1.5,0),0)</x:f>
        <x:v>10</x:v>
      </x:c>
      <x:c r="V28" s="80" t="n">
        <x:f>SUM(N28:U28)</x:f>
        <x:v>18</x:v>
      </x:c>
      <x:c r="W28" s="77" t="str">
        <x:f>IF(MAX(N28:U28)&lt;=0,"基础画像",IF(MAX(N28:U28)=N28,"视觉奇观",IF(MAX(N28:U28)=O28,"历史理解",IF(MAX(N28:U28)=P28,"在地生活",IF(MAX(N28:U28)=Q28,"饮食互动",IF(MAX(N28:U28)=R28,"低摩擦",IF(MAX(N28:U28)=S28,"摄影创作",IF(MAX(N28:U28)=T28,"亲子教育","复游新鲜感"))))))))</x:f>
        <x:v>在地生活</x:v>
      </x:c>
      <x:c r="X28" s="77" t="str">
        <x:f>IF('路线模块库'!AL28="无","可直接输出","需确认："&amp;'路线模块库'!AL28)</x:f>
        <x:v>需确认：拍摄许可|人数|价格|社交边界</x:v>
      </x:c>
    </x:row>
    <x:row r="29" ht="38" customHeight="1">
      <x:c r="A29" s="78" t="str">
        <x:f>'路线模块库'!A29</x:f>
        <x:v>RM24</x:v>
      </x:c>
      <x:c r="B29" s="78" t="str">
        <x:f>'路线模块库'!B29</x:f>
        <x:v>D4</x:v>
      </x:c>
      <x:c r="C29" s="78" t="str">
        <x:f>'路线模块库'!D29</x:f>
        <x:v>防空洞、工业与博物馆</x:v>
      </x:c>
      <x:c r="D29" s="78" t="str">
        <x:f>'路线模块库'!E29</x:f>
        <x:v>核心解释</x:v>
      </x:c>
      <x:c r="E29" s="81" t="n">
        <x:f>IF('游客输出器'!$B$5="首次经典",'路线模块库'!O29,IF('游客输出器'!$B$5="赛博摄影",'路线模块库'!P29,IF('游客输出器'!$B$5="文化历史",'路线模块库'!Q29,IF('游客输出器'!$B$5="美食生活",'路线模块库'!R29,IF('游客输出器'!$B$5="亲子轻松",'路线模块库'!S29,'路线模块库'!T29)))))</x:f>
        <x:v>3</x:v>
      </x:c>
      <x:c r="F29" s="81" t="n">
        <x:f>IF('游客输出器'!$B$6="低",IF('路线模块库'!L29=3,-120,IF(AND('路线模块库'!L29=2,'路线模块库'!K29&gt;120),-30,IF('路线模块库'!L29=2,-15,0))),IF('游客输出器'!$B$6="中",IF('路线模块库'!L29=3,-12,0),0))</x:f>
        <x:v>-30</x:v>
      </x:c>
      <x:c r="G29" s="81" t="n">
        <x:f>IF('游客输出器'!$B$7="雨天",('路线模块库'!M29-3)*15,IF('游客输出器'!$B$7="炎热",('路线模块库'!N29-3)*12,0))</x:f>
        <x:v>0</x:v>
      </x:c>
      <x:c r="H29" s="81" t="n">
        <x:f>IF(B29="D4",IF('游客输出器'!$B$4&lt;4,-100,IF('路线模块库'!C29='游客输出器'!$B$8,20,-60)),IF(VALUE(RIGHT(B29,1))&lt;='游客输出器'!$B$4,0,-100))</x:f>
        <x:v>-100</x:v>
      </x:c>
      <x:c r="I29" s="81" t="n">
        <x:f>'路线模块库'!V29</x:f>
        <x:v>86</x:v>
      </x:c>
      <x:c r="J29" s="81" t="n">
        <x:f>I29+E29*12+F29+G29+H29+'路线模块库'!U29*3+V29+ROW()/10000</x:f>
        <x:v>35.0029</x:v>
      </x:c>
      <x:c r="K29" s="81" t="n">
        <x:f>COUNTIFS($B$6:$B$29,B29,$J$6:$J$29,"&gt;"&amp;J29)+1</x:f>
        <x:v>3</x:v>
      </x:c>
      <x:c r="L29" s="81" t="str">
        <x:f>B29&amp;"-"&amp;K29</x:f>
        <x:v>D4-3</x:v>
      </x:c>
      <x:c r="M29" s="81" t="str">
        <x:f>IF(AND(K29&lt;='游客输出器'!$B$11,OR(B29&lt;&gt;"D4",'游客输出器'!$B$4=4)),"输出","不输出")</x:f>
        <x:v>不输出</x:v>
      </x:c>
      <x:c r="N29" s="81" t="n">
        <x:f>IF('智能体会话输入'!$C$29&gt;=0.5,ROUND(('路线模块库'!AC29-3)*'智能体会话输入'!$B$29*'智能体会话输入'!$C$29*1.5,0),0)</x:f>
        <x:v>7</x:v>
      </x:c>
      <x:c r="O29" s="81" t="n">
        <x:f>IF('智能体会话输入'!$C$30&gt;=0.5,ROUND(('路线模块库'!AD29-3)*'智能体会话输入'!$B$30*'智能体会话输入'!$C$30*1.5,0),0)</x:f>
        <x:v>0</x:v>
      </x:c>
      <x:c r="P29" s="81" t="n">
        <x:f>IF('智能体会话输入'!$C$31&gt;=0.5,ROUND(('路线模块库'!AE29-3)*'智能体会话输入'!$B$31*'智能体会话输入'!$C$31*1.5,0),0)</x:f>
        <x:v>0</x:v>
      </x:c>
      <x:c r="Q29" s="81" t="n">
        <x:f>IF('智能体会话输入'!$C$32&gt;=0.5,ROUND(('路线模块库'!AF29-3)*'智能体会话输入'!$B$32*'智能体会话输入'!$C$32*1.5,0),0)</x:f>
        <x:v>0</x:v>
      </x:c>
      <x:c r="R29" s="81" t="n">
        <x:f>IF('智能体会话输入'!$C$33&gt;=0.5,ROUND(('路线模块库'!AG29-3)*'智能体会话输入'!$B$33*'智能体会话输入'!$C$33*1.5,0),0)</x:f>
        <x:v>6</x:v>
      </x:c>
      <x:c r="S29" s="81" t="n">
        <x:f>IF('智能体会话输入'!$C$34&gt;=0.5,ROUND(('路线模块库'!AH29-3)*'智能体会话输入'!$B$34*'智能体会话输入'!$C$34*1.5,0),0)</x:f>
        <x:v>5</x:v>
      </x:c>
      <x:c r="T29" s="81" t="n">
        <x:f>IF('智能体会话输入'!$C$35&gt;=0.5,ROUND(('路线模块库'!AI29-3)*'智能体会话输入'!$B$35*'智能体会话输入'!$C$35*1.5,0),0)</x:f>
        <x:v>0</x:v>
      </x:c>
      <x:c r="U29" s="81" t="n">
        <x:f>IF('智能体会话输入'!$C$36&gt;=0.5,ROUND(('路线模块库'!AJ29-3)*'智能体会话输入'!$B$36*'智能体会话输入'!$C$36*1.5,0),0)</x:f>
        <x:v>10</x:v>
      </x:c>
      <x:c r="V29" s="81" t="n">
        <x:f>SUM(N29:U29)</x:f>
        <x:v>28</x:v>
      </x:c>
      <x:c r="W29" s="78" t="str">
        <x:f>IF(MAX(N29:U29)&lt;=0,"基础画像",IF(MAX(N29:U29)=N29,"视觉奇观",IF(MAX(N29:U29)=O29,"历史理解",IF(MAX(N29:U29)=P29,"在地生活",IF(MAX(N29:U29)=Q29,"饮食互动",IF(MAX(N29:U29)=R29,"低摩擦",IF(MAX(N29:U29)=S29,"摄影创作",IF(MAX(N29:U29)=T29,"亲子教育","复游新鲜感"))))))))</x:f>
        <x:v>复游新鲜感</x:v>
      </x:c>
      <x:c r="X29" s="78" t="str">
        <x:f>IF('路线模块库'!AL29="无","可直接输出","需确认："&amp;'路线模块库'!AL29)</x:f>
        <x:v>需确认：开放时间|英语支持</x:v>
      </x:c>
    </x:row>
  </x:sheetData>
  <x:mergeCells>
    <x:mergeCell ref="A1:X1"/>
    <x:mergeCell ref="A2:X2"/>
  </x:mergeCells>
  <x:conditionalFormatting sqref="J6:J29">
    <x:cfRule type="dataBar" priority="1">
      <x:dataBar>
        <x:cfvo type="min"/>
        <x:cfvo type="max"/>
        <x:color rgb="FF2E7D72"/>
      </x:dataBar>
      <x:extLst>
        <x:ext xmlns:x14="http://schemas.microsoft.com/office/spreadsheetml/2009/9/main" uri="{B025F937-C7B1-47D3-B67F-A62EFF666E3E}">
          <x14:id>{CD6E14CF-21D6-2DB5-1B24-D2E6B5105761}</x14:id>
        </x:ext>
      </x:extLst>
    </x:cfRule>
  </x:conditionalFormatting>
  <x:conditionalFormatting sqref="N6:U29">
    <x:cfRule type="colorScale" priority="2">
      <x:colorScale>
        <x:cfvo type="min"/>
        <x:cfvo type="percentile" val="50"/>
        <x:cfvo type="max"/>
        <x:color rgb="FFFBE5E5"/>
        <x:color rgb="FFFFF1D6"/>
        <x:color rgb="FFE3F1EA"/>
      </x:colorScale>
    </x:cfRule>
  </x:conditionalFormatting>
  <x:conditionalFormatting sqref="M6:M29">
    <x:cfRule type="containsText" dxfId="2" priority="3" operator="containsText" text="输出"/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D6E14CF-21D6-2DB5-1B24-D2E6B5105761}">
            <x14:dataBar gradient="1">
              <x14:cfvo type="min"/>
              <x14:cfvo type="max"/>
              <x14:fillColor rgb="FF2E7D72"/>
            </x14:dataBar>
          </x14:cfRule>
          <xm:sqref>J6:J29</xm:sqref>
        </x14:conditionalFormatting>
      </x14:conditionalFormattings>
    </x:ext>
  </x:extLst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5" hidden="0" customWidth="1"/>
    <x:col min="3" max="3" width="47" hidden="0" customWidth="1"/>
    <x:col min="4" max="4" width="39" hidden="0" customWidth="1"/>
    <x:col min="5" max="5" width="34" hidden="0" customWidth="1"/>
    <x:col min="6" max="6" width="42" hidden="0" customWidth="1"/>
  </x:cols>
  <x:sheetData>
    <x:row r="1" ht="32" customHeight="1">
      <x:c r="A1" s="3" t="str">
        <x:v>对话测试集｜验证智能体是否真正理解客户</x:v>
      </x:c>
      <x:c r="B1" s="3"/>
      <x:c r="C1" s="3"/>
      <x:c r="D1" s="3"/>
      <x:c r="E1" s="3"/>
      <x:c r="F1" s="3"/>
    </x:row>
    <x:row r="2" ht="30" customHeight="1">
      <x:c r="A2" s="7" t="str">
        <x:v>这些不是文案示例，而是回归测试。每次修改提示词、信号库或排序规则后，都应检查应识别、应追问、应检索和禁止推断是否仍成立。</x:v>
      </x:c>
      <x:c r="B2" s="7"/>
      <x:c r="C2" s="7"/>
      <x:c r="D2" s="7"/>
      <x:c r="E2" s="7"/>
      <x:c r="F2" s="7"/>
    </x:row>
    <x:row r="5" ht="34" customHeight="1">
      <x:c r="A5" s="11" t="str">
        <x:v>测试ID</x:v>
      </x:c>
      <x:c r="B5" s="11" t="str">
        <x:v>客户对话</x:v>
      </x:c>
      <x:c r="C5" s="11" t="str">
        <x:v>应识别的旅行者状态</x:v>
      </x:c>
      <x:c r="D5" s="11" t="str">
        <x:v>必须追问</x:v>
      </x:c>
      <x:c r="E5" s="11" t="str">
        <x:v>预期优先模块</x:v>
      </x:c>
      <x:c r="F5" s="11" t="str">
        <x:v>禁止推断/失败条件</x:v>
      </x:c>
    </x:row>
    <x:row r="6" ht="72" customHeight="1">
      <x:c r="A6" s="19" t="str">
        <x:v>TC01</x:v>
      </x:c>
      <x:c r="B6" s="19" t="str">
        <x:v>第一次来，3天，和妈妈，不想太累，想拍特别的城市感，也不想全是网红。</x:v>
      </x:c>
      <x:c r="C6" s="19" t="str">
        <x:v>显性：3天/首访/与妈妈；潜意图：视觉5、低摩擦5、摄影4、在地4、新鲜感4</x:v>
      </x:c>
      <x:c r="D6" s="19" t="str">
        <x:v>确认台阶能力与抵离时间</x:v>
      </x:c>
      <x:c r="E6" s="19" t="str">
        <x:v>RM02|RM04|RM16|RM13|RM07</x:v>
      </x:c>
      <x:c r="F6" s="19" t="str">
        <x:v>自动判定妈妈行动不便；删除全部经典点</x:v>
      </x:c>
    </x:row>
    <x:row r="7" ht="72" customHeight="1">
      <x:c r="A7" s="20" t="str">
        <x:v>TC02</x:v>
      </x:c>
      <x:c r="B7" s="20" t="str">
        <x:v>洪崖洞李子坝都去过。这次想了解开埠和普通人的生活，不爱排队。</x:v>
      </x:c>
      <x:c r="C7" s="20" t="str">
        <x:v>显性：复游/已去经典/不排队；潜意图：历史5、在地5、新鲜感5、低摩擦4</x:v>
      </x:c>
      <x:c r="D7" s="20" t="str">
        <x:v>确认体力和酒店区域</x:v>
      </x:c>
      <x:c r="E7" s="20" t="str">
        <x:v>RM08|RM19|RM22|RM23|RM24</x:v>
      </x:c>
      <x:c r="F7" s="20" t="str">
        <x:v>再次给完整首访线；承诺进入私人住宅</x:v>
      </x:c>
    </x:row>
    <x:row r="8" ht="72" customHeight="1">
      <x:c r="A8" s="20" t="str">
        <x:v>TC03</x:v>
      </x:c>
      <x:c r="B8" s="20" t="str">
        <x:v>I have two days to film Chongqing for YouTube. Cyberpunk visuals matter most.</x:v>
      </x:c>
      <x:c r="C8" s="20" t="str">
        <x:v>显性：2天/商业内容；潜意图：视觉5、摄影5</x:v>
      </x:c>
      <x:c r="D8" s="20" t="str">
        <x:v>确认商业用途、设备、团队、许可和夜间时段</x:v>
      </x:c>
      <x:c r="E8" s="20" t="str">
        <x:v>RM02|RM04|RM16|RM17</x:v>
      </x:c>
      <x:c r="F8" s="20" t="str">
        <x:v>把普通游客拍摄规则用于商业拍摄</x:v>
      </x:c>
    </x:row>
    <x:row r="9" ht="72" customHeight="1">
      <x:c r="A9" s="20" t="str">
        <x:v>TC04</x:v>
      </x:c>
      <x:c r="B9" s="20" t="str">
        <x:v>带8岁孩子，雨天，不吃辣，孩子喜欢火车和博物馆。</x:v>
      </x:c>
      <x:c r="C9" s="20" t="str">
        <x:v>显性：亲子/8岁/雨天/不吃辣；潜意图：亲子5、低摩擦5、历史3</x:v>
      </x:c>
      <x:c r="D9" s="20" t="str">
        <x:v>确认是否过敏以及可接受室外时间</x:v>
      </x:c>
      <x:c r="E9" s="20" t="str">
        <x:v>RM13|RM16|RM18|RM05</x:v>
      </x:c>
      <x:c r="F9" s="20" t="str">
        <x:v>因不吃辣删除全部饮食文化；安排长步道</x:v>
      </x:c>
    </x:row>
    <x:row r="10" ht="72" customHeight="1">
      <x:c r="A10" s="20" t="str">
        <x:v>TC05</x:v>
      </x:c>
      <x:c r="B10" s="20" t="str">
        <x:v>预算没问题，想要小众、真实，不想被推销。你直接安排。</x:v>
      </x:c>
      <x:c r="C10" s="20" t="str">
        <x:v>显性：付费态度/反推销；潜意图：在地5、新鲜感5、信任与决策疲劳</x:v>
      </x:c>
      <x:c r="D10" s="20" t="str">
        <x:v>问更愿意为省时、专家还是独家体验付费；确认社交边界</x:v>
      </x:c>
      <x:c r="E10" s="20" t="str">
        <x:v>RM06|RM22|RM23|RM19</x:v>
      </x:c>
      <x:c r="F10" s="20" t="str">
        <x:v>自动理解为奢华；进入未开放或私人空间</x:v>
      </x:c>
    </x:row>
    <x:row r="11" ht="72" customHeight="1">
      <x:c r="A11" s="21" t="str">
        <x:v>TC06</x:v>
      </x:c>
      <x:c r="B11" s="21" t="str">
        <x:v>只有两天，但洪崖洞、长江索道、游船、李子坝、十八梯和博物馆都想去。</x:v>
      </x:c>
      <x:c r="C11" s="21" t="str">
        <x:v>显性：2天/多个必去；潜意图：害怕错过</x:v>
      </x:c>
      <x:c r="D11" s="21" t="str">
        <x:v>要求在经典城市感与深度之间二选一</x:v>
      </x:c>
      <x:c r="E11" s="21" t="str">
        <x:v>RM02|RM04|RM12|RM13|RM16</x:v>
      </x:c>
      <x:c r="F11" s="21" t="str">
        <x:v>通过压缩停留和增加转场假装全部可完成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69972ab99a14497"/>
  </x:tableParts>
</x:worksheet>
</file>