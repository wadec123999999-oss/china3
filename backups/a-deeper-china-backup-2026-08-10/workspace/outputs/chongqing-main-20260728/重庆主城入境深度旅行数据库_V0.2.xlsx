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d2aff12bc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总览" sheetId="1" r:id="Rae9aa60b9c7a4a2e"/>
    <x:sheet xmlns:r="http://schemas.openxmlformats.org/officeDocument/2006/relationships" name="4天路线" sheetId="2" r:id="R2d5106dc8a834308"/>
    <x:sheet xmlns:r="http://schemas.openxmlformats.org/officeDocument/2006/relationships" name="主城点位库" sheetId="3" r:id="R80a81479078747b5"/>
    <x:sheet xmlns:r="http://schemas.openxmlformats.org/officeDocument/2006/relationships" name="深度讲解卡" sheetId="4" r:id="Raa337c23da7e4345"/>
    <x:sheet xmlns:r="http://schemas.openxmlformats.org/officeDocument/2006/relationships" name="实地核验清单" sheetId="5" r:id="R544ebf916aad47d3"/>
    <x:sheet xmlns:r="http://schemas.openxmlformats.org/officeDocument/2006/relationships" name="外国游客问题" sheetId="6" r:id="R3178463d30af4406"/>
    <x:sheet xmlns:r="http://schemas.openxmlformats.org/officeDocument/2006/relationships" name="产品决策" sheetId="7" r:id="Rf4b5fe857fb04de8"/>
    <x:sheet xmlns:r="http://schemas.openxmlformats.org/officeDocument/2006/relationships" name="来源台账" sheetId="8" r:id="R03eab888afa944e8"/>
    <x:sheet xmlns:r="http://schemas.openxmlformats.org/officeDocument/2006/relationships" name="筛选标准" sheetId="9" r:id="R84d5a005ba27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10"/>
      <x:color rgb="FF153B5B"/>
      <x:name val="Carlito"/>
    </x:font>
    <x:font>
      <x:b/>
      <x:sz val="20"/>
      <x:color rgb="FF1E6FA8"/>
      <x:name val="Carlito"/>
    </x:font>
    <x:font>
      <x:b/>
      <x:sz val="12"/>
      <x:color rgb="FFFFFFFF"/>
      <x:name val="Carlito"/>
    </x:font>
    <x:font>
      <x:b/>
      <x:sz val="11"/>
      <x:color rgb="FF153B5B"/>
      <x:name val="Carlito"/>
    </x:font>
    <x:font>
      <x:b/>
      <x:sz val="12"/>
      <x:color rgb="FF0B2239"/>
      <x:name val="Carlito"/>
    </x:font>
    <x:font>
      <x:b/>
      <x:sz val="11"/>
      <x:color rgb="FF0B2239"/>
      <x:name val="Carlito"/>
    </x:font>
    <x:font>
      <x:b/>
      <x:sz val="11"/>
      <x:color rgb="FF1E6FA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239"/>
      </x:patternFill>
    </x:fill>
    <x:fill>
      <x:patternFill patternType="solid">
        <x:fgColor rgb="FFF8F4EC"/>
      </x:patternFill>
    </x:fill>
    <x:fill>
      <x:patternFill patternType="solid">
        <x:fgColor rgb="FF153B5B"/>
      </x:patternFill>
    </x:fill>
    <x:fill>
      <x:patternFill patternType="solid">
        <x:fgColor rgb="FFEAF4F8"/>
      </x:patternFill>
    </x:fill>
    <x:fill>
      <x:patternFill patternType="solid">
        <x:fgColor rgb="FFD5EAF3"/>
      </x:patternFill>
    </x:fill>
    <x:fill>
      <x:patternFill patternType="solid">
        <x:fgColor rgb="FFFFFFFF"/>
      </x:patternFill>
    </x:fill>
    <x:fill>
      <x:patternFill patternType="solid">
        <x:fgColor rgb="FFC9993A"/>
      </x:patternFill>
    </x:fill>
    <x:fill>
      <x:patternFill patternType="solid">
        <x:fgColor rgb="FFF4E8C8"/>
      </x:patternFill>
    </x:fill>
  </x:fills>
  <x:borders count="26">
    <x:border/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  <x:border>
      <x:left style="thin">
        <x:color rgb="FFBDD1DD"/>
      </x:left>
      <x:top style="thin">
        <x:color rgb="FFBDD1DD"/>
      </x:top>
    </x:border>
    <x:border>
      <x:right style="thin">
        <x:color rgb="FFBDD1DD"/>
      </x:right>
      <x:top style="thin">
        <x:color rgb="FFBDD1DD"/>
      </x:top>
    </x:border>
    <x:border>
      <x:left style="thin">
        <x:color rgb="FFBDD1DD"/>
      </x:left>
      <x:bottom style="thin">
        <x:color rgb="FFBDD1DD"/>
      </x:bottom>
    </x:border>
    <x:border>
      <x:right style="thin">
        <x:color rgb="FFBDD1DD"/>
      </x:right>
      <x:bottom style="thin">
        <x:color rgb="FFBDD1DD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right style="thin">
        <x:color rgb="FFE7D9B8"/>
      </x:right>
      <x:bottom style="thin">
        <x:color rgb="FFE7D9B8"/>
      </x:bottom>
    </x:border>
    <x:border>
      <x:left style="thin">
        <x:color rgb="FFE7D9B8"/>
      </x:left>
      <x:right style="thin">
        <x:color rgb="FFE7D9B8"/>
      </x:right>
      <x:bottom style="thin">
        <x:color rgb="FFE7D9B8"/>
      </x:bottom>
    </x:border>
    <x:border>
      <x:left style="thin">
        <x:color rgb="FFE7D9B8"/>
      </x:left>
      <x:bottom style="thin">
        <x:color rgb="FFE7D9B8"/>
      </x:bottom>
    </x:border>
    <x:border>
      <x:right style="thin">
        <x:color rgb="FFE7D9B8"/>
      </x:right>
      <x:top style="thin">
        <x:color rgb="FFE7D9B8"/>
      </x:top>
      <x:bottom style="thin">
        <x:color rgb="FFE7D9B8"/>
      </x:bottom>
    </x:border>
    <x:border>
      <x:left style="thin">
        <x:color rgb="FFE7D9B8"/>
      </x:left>
      <x:right style="thin">
        <x:color rgb="FFE7D9B8"/>
      </x:right>
      <x:top style="thin">
        <x:color rgb="FFE7D9B8"/>
      </x:top>
      <x:bottom style="thin">
        <x:color rgb="FFE7D9B8"/>
      </x:bottom>
    </x:border>
    <x:border>
      <x:left style="thin">
        <x:color rgb="FFE7D9B8"/>
      </x:left>
      <x:top style="thin">
        <x:color rgb="FFE7D9B8"/>
      </x:top>
      <x:bottom style="thin">
        <x:color rgb="FFE7D9B8"/>
      </x:bottom>
    </x:border>
    <x:border>
      <x:right style="thin">
        <x:color rgb="FFE7D9B8"/>
      </x:right>
      <x:top style="thin">
        <x:color rgb="FFE7D9B8"/>
      </x:top>
    </x:border>
    <x:border>
      <x:left style="thin">
        <x:color rgb="FFE7D9B8"/>
      </x:left>
      <x:right style="thin">
        <x:color rgb="FFE7D9B8"/>
      </x:right>
      <x:top style="thin">
        <x:color rgb="FFE7D9B8"/>
      </x:top>
    </x:border>
    <x:border>
      <x:left style="thin">
        <x:color rgb="FFE7D9B8"/>
      </x:left>
      <x:top style="thin">
        <x:color rgb="FFE7D9B8"/>
      </x:top>
    </x:border>
  </x:borders>
  <x:cellStyleXfs count="1">
    <x:xf numFmtId="0" fontId="0" fillId="0" borderId="0"/>
  </x:cellStyleXfs>
  <x:cellXfs count="1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201" fontId="4" fillId="0" borderId="1" xfId="0" applyNumberFormat="1" applyFont="1" applyFill="1" applyBorder="1" applyAlignment="1">
      <x:alignment horizontal="center" vertical="top" wrapText="1"/>
    </x:xf>
    <x:xf numFmtId="201" fontId="4" fillId="0" borderId="2" xfId="0" applyNumberFormat="1" applyFont="1" applyFill="1" applyBorder="1" applyAlignment="1">
      <x:alignment horizontal="center" vertical="top" wrapText="1"/>
    </x:xf>
    <x:xf numFmtId="201" fontId="4" fillId="0" borderId="3" xfId="0" applyNumberFormat="1" applyFont="1" applyFill="1" applyBorder="1" applyAlignment="1">
      <x:alignment horizontal="center"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6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b/>
        <x:color rgb="FF2E7D72"/>
      </x:font>
      <x:fill>
        <x:patternFill patternType="solid">
          <x:bgColor rgb="FFE3F1EA"/>
        </x:patternFill>
      </x:fill>
    </x:dxf>
    <x:dxf>
      <x:font>
        <x:color rgb="FF8A5A00"/>
      </x:font>
      <x:fill>
        <x:patternFill patternType="solid">
          <x:bgColor rgb="FFFFF1D6"/>
        </x:patternFill>
      </x:fill>
    </x:dxf>
    <x:dxf>
      <x:font>
        <x:color rgb="FF667085"/>
      </x:font>
      <x:fill>
        <x:patternFill patternType="solid">
          <x:bgColor rgb="FFEEF1F4"/>
        </x:patternFill>
      </x:fill>
    </x:dxf>
    <x:dxf>
      <x:font>
        <x:b/>
        <x:color rgb="FF2E7D72"/>
      </x:font>
      <x:fill>
        <x:patternFill patternType="solid">
          <x:bgColor rgb="FFE3F1EA"/>
        </x:patternFill>
      </x:fill>
    </x:dxf>
    <x:dxf>
      <x:font>
        <x:color rgb="FFB42318"/>
      </x:font>
      <x:fill>
        <x:patternFill patternType="solid">
          <x:bgColor rgb="FFFBE5E5"/>
        </x:patternFill>
      </x:fill>
    </x:dxf>
    <x:dxf>
      <x:font>
        <x:b/>
        <x:color rgb="FF2E7D72"/>
      </x:font>
      <x:fill>
        <x:patternFill patternType="solid">
          <x:bgColor rgb="FFE3F1EA"/>
        </x:patternFill>
      </x:fill>
    </x:dxf>
    <x:dxf>
      <x:font>
        <x:color rgb="FF8A5A00"/>
      </x:font>
      <x:fill>
        <x:patternFill patternType="solid">
          <x:bgColor rgb="FFFFF1D6"/>
        </x:patternFill>
      </x:fill>
    </x:dxf>
    <x:dxf>
      <x:font>
        <x:color rgb="FF667085"/>
      </x:font>
      <x:fill>
        <x:patternFill patternType="solid">
          <x:bgColor rgb="FFEEF1F4"/>
        </x:patternFill>
      </x:fill>
    </x:dxf>
    <x:dxf>
      <x:font>
        <x:b/>
        <x:color rgb="FFB42318"/>
      </x:font>
      <x:fill>
        <x:patternFill patternType="solid">
          <x:bgColor rgb="FFFBE5E5"/>
        </x:patternFill>
      </x:fill>
    </x:dxf>
    <x:dxf>
      <x:font>
        <x:b/>
        <x:color rgb="FF2E7D72"/>
      </x:font>
      <x:fill>
        <x:patternFill patternType="solid">
          <x:bgColor rgb="FFE3F1EA"/>
        </x:patternFill>
      </x:fill>
    </x:dxf>
    <x:dxf>
      <x:font>
        <x:b/>
        <x:color rgb="FFB42318"/>
      </x:font>
      <x:fill>
        <x:patternFill patternType="solid">
          <x:bgColor rgb="FFFBE5E5"/>
        </x:patternFill>
      </x:fill>
    </x:dxf>
    <x:dxf>
      <x:font>
        <x:b/>
        <x:color rgb="FF2E7D72"/>
      </x:font>
      <x:fill>
        <x:patternFill patternType="solid">
          <x:bgColor rgb="FFE3F1EA"/>
        </x:patternFill>
      </x:fill>
    </x:dxf>
    <x:dxf>
      <x:font>
        <x:color rgb="FF8A5A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1dae7e45a4b60" /><Relationship Type="http://schemas.openxmlformats.org/officeDocument/2006/relationships/theme" Target="/xl/theme/theme1.xml" Id="R5b89adcc531b4cc6" /><Relationship Type="http://schemas.openxmlformats.org/officeDocument/2006/relationships/sharedStrings" Target="/xl/sharedStrings.xml" Id="R5916a5157cef4f45" /><Relationship Type="http://schemas.openxmlformats.org/officeDocument/2006/relationships/worksheet" Target="/xl/worksheets/sheet1.xml" Id="Rae9aa60b9c7a4a2e" /><Relationship Type="http://schemas.openxmlformats.org/officeDocument/2006/relationships/worksheet" Target="/xl/worksheets/sheet2.xml" Id="R2d5106dc8a834308" /><Relationship Type="http://schemas.openxmlformats.org/officeDocument/2006/relationships/worksheet" Target="/xl/worksheets/sheet3.xml" Id="R80a81479078747b5" /><Relationship Type="http://schemas.openxmlformats.org/officeDocument/2006/relationships/worksheet" Target="/xl/worksheets/sheet4.xml" Id="Raa337c23da7e4345" /><Relationship Type="http://schemas.openxmlformats.org/officeDocument/2006/relationships/worksheet" Target="/xl/worksheets/sheet5.xml" Id="R544ebf916aad47d3" /><Relationship Type="http://schemas.openxmlformats.org/officeDocument/2006/relationships/worksheet" Target="/xl/worksheets/sheet6.xml" Id="R3178463d30af4406" /><Relationship Type="http://schemas.openxmlformats.org/officeDocument/2006/relationships/worksheet" Target="/xl/worksheets/sheet7.xml" Id="Rf4b5fe857fb04de8" /><Relationship Type="http://schemas.openxmlformats.org/officeDocument/2006/relationships/worksheet" Target="/xl/worksheets/sheet8.xml" Id="R03eab888afa944e8" /><Relationship Type="http://schemas.openxmlformats.org/officeDocument/2006/relationships/worksheet" Target="/xl/worksheets/sheet9.xml" Id="R84d5a005ba27471a" /></Relationships>
</file>

<file path=xl/tables/table1.xml><?xml version="1.0" encoding="utf-8"?>
<x:table xmlns:x="http://schemas.openxmlformats.org/spreadsheetml/2006/main" id="3" name="MainCityRoute" displayName="MainCityRoute" ref="A5:Q39" headerRowCount="1" totalsRowCount="0" totalsRowShown="0">
  <x:autoFilter ref="A5:Q39"/>
  <x:tableColumns count="17">
    <x:tableColumn id="1" name="段ID"/>
    <x:tableColumn id="2" name="版本"/>
    <x:tableColumn id="3" name="类型"/>
    <x:tableColumn id="4" name="主题"/>
    <x:tableColumn id="5" name="建议开始"/>
    <x:tableColumn id="6" name="节点"/>
    <x:tableColumn id="7" name="停留(分钟)"/>
    <x:tableColumn id="8" name="转场(分钟)"/>
    <x:tableColumn id="9" name="交通"/>
    <x:tableColumn id="10" name="为什么放这里"/>
    <x:tableColumn id="11" name="必须讲清"/>
    <x:tableColumn id="12" name="体力"/>
    <x:tableColumn id="13" name="外国人摩擦"/>
    <x:tableColumn id="14" name="雨天/低体力"/>
    <x:tableColumn id="15" name="状态"/>
    <x:tableColumn id="16" name="来源URL"/>
    <x:tableColumn id="17" name="待核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CityPlaces" displayName="MainCityPlaces" ref="A5:AF45" headerRowCount="1" totalsRowCount="0" totalsRowShown="0">
  <x:autoFilter ref="A5:AF45"/>
  <x:tableColumns count="32">
    <x:tableColumn id="1" name="ID"/>
    <x:tableColumn id="2" name="地点/体验"/>
    <x:tableColumn id="3" name="区域"/>
    <x:tableColumn id="4" name="模块"/>
    <x:tableColumn id="5" name="类型"/>
    <x:tableColumn id="6" name="推荐等级"/>
    <x:tableColumn id="7" name="产品角色"/>
    <x:tableColumn id="8" name="适合客群"/>
    <x:tableColumn id="9" name="独特性"/>
    <x:tableColumn id="10" name="叙事密度"/>
    <x:tableColumn id="11" name="路线适配"/>
    <x:tableColumn id="12" name="外国人可用"/>
    <x:tableColumn id="13" name="低摩擦"/>
    <x:tableColumn id="14" name="产品分"/>
    <x:tableColumn id="15" name="来源权威"/>
    <x:tableColumn id="16" name="交叉验证"/>
    <x:tableColumn id="17" name="时效"/>
    <x:tableColumn id="18" name="现场核验"/>
    <x:tableColumn id="19" name="证据分"/>
    <x:tableColumn id="20" name="等级"/>
    <x:tableColumn id="21" name="建议停留(分钟)"/>
    <x:tableColumn id="22" name="最佳时段"/>
    <x:tableColumn id="23" name="进入方式"/>
    <x:tableColumn id="24" name="外国人摩擦"/>
    <x:tableColumn id="25" name="雨天/低体力"/>
    <x:tableColumn id="26" name="风险/噪音"/>
    <x:tableColumn id="27" name="深度叙事角度"/>
    <x:tableColumn id="28" name="现场观察任务"/>
    <x:tableColumn id="29" name="来源URL1"/>
    <x:tableColumn id="30" name="来源URL2"/>
    <x:tableColumn id="31" name="最后检查"/>
    <x:tableColumn id="32" name="下一步核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toryCards" displayName="StoryCards" ref="A5:K20" headerRowCount="1" totalsRowCount="0" totalsRowShown="0">
  <x:autoFilter ref="A5:K20"/>
  <x:tableColumns count="11">
    <x:tableColumn id="1" name="卡ID"/>
    <x:tableColumn id="2" name="主题"/>
    <x:tableColumn id="3" name="适用节点"/>
    <x:tableColumn id="4" name="现场切入"/>
    <x:tableColumn id="5" name="深层解释"/>
    <x:tableColumn id="6" name="不要这样说"/>
    <x:tableColumn id="7" name="给游客的问题"/>
    <x:tableColumn id="8" name="证据状态"/>
    <x:tableColumn id="9" name="来源URL1"/>
    <x:tableColumn id="10" name="来源URL2"/>
    <x:tableColumn id="11" name="下一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FieldChecks" displayName="FieldChecks" ref="A5:K35" headerRowCount="1" totalsRowCount="0" totalsRowShown="0">
  <x:autoFilter ref="A5:K35"/>
  <x:tableColumns count="11">
    <x:tableColumn id="1" name="核验ID"/>
    <x:tableColumn id="2" name="模块"/>
    <x:tableColumn id="3" name="对象"/>
    <x:tableColumn id="4" name="方式"/>
    <x:tableColumn id="5" name="优先级"/>
    <x:tableColumn id="6" name="状态"/>
    <x:tableColumn id="7" name="核验人"/>
    <x:tableColumn id="8" name="核验日期"/>
    <x:tableColumn id="9" name="必须记录"/>
    <x:tableColumn id="10" name="合格交付物"/>
    <x:tableColumn id="11" name="来源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FrictionTable" displayName="FrictionTable" ref="A5:I23" headerRowCount="1" totalsRowCount="0" totalsRowShown="0">
  <x:autoFilter ref="A5:I23"/>
  <x:tableColumns count="9">
    <x:tableColumn id="1" name="问题ID"/>
    <x:tableColumn id="2" name="旅程阶段"/>
    <x:tableColumn id="3" name="真实问题"/>
    <x:tableColumn id="4" name="严重度"/>
    <x:tableColumn id="5" name="频率"/>
    <x:tableColumn id="6" name="产品解决方案"/>
    <x:tableColumn id="7" name="必须收集字段"/>
    <x:tableColumn id="8" name="来源URL"/>
    <x:tableColumn id="9" name="下一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DecisionTable" displayName="DecisionTable" ref="A5:I17" headerRowCount="1" totalsRowCount="0" totalsRowShown="0">
  <x:autoFilter ref="A5:I17"/>
  <x:tableColumns count="9">
    <x:tableColumn id="1" name="决策ID"/>
    <x:tableColumn id="2" name="问题"/>
    <x:tableColumn id="3" name="建议"/>
    <x:tableColumn id="4" name="理由"/>
    <x:tableColumn id="5" name="状态"/>
    <x:tableColumn id="6" name="你的决定"/>
    <x:tableColumn id="7" name="决定日期"/>
    <x:tableColumn id="8" name="影响范围"/>
    <x:tableColumn id="9" name="复盘节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SourceLedger" displayName="SourceLedger" ref="A5:I39" headerRowCount="1" totalsRowCount="0" totalsRowShown="0">
  <x:autoFilter ref="A5:I39"/>
  <x:tableColumns count="9">
    <x:tableColumn id="1" name="来源ID"/>
    <x:tableColumn id="2" name="来源名称"/>
    <x:tableColumn id="3" name="来源/机构"/>
    <x:tableColumn id="4" name="层级"/>
    <x:tableColumn id="5" name="主要用途"/>
    <x:tableColumn id="6" name="发布日期/状态"/>
    <x:tableColumn id="7" name="核心信息"/>
    <x:tableColumn id="8" name="URL"/>
    <x:tableColumn id="9" name="广告风险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" name="MethodTable" displayName="MethodTable" ref="A5:F28" headerRowCount="1" totalsRowCount="0" totalsRowShown="0">
  <x:autoFilter ref="A5:F28"/>
  <x:tableColumns count="6">
    <x:tableColumn id="1" name="项目"/>
    <x:tableColumn id="2" name="权重/阈值"/>
    <x:tableColumn id="3" name="高分或定义"/>
    <x:tableColumn id="4" name="低分/限制"/>
    <x:tableColumn id="5" name="用途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8053a0656140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77b4b48fec4c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043439922641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0710a95c5c4f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a2d719931848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e6eddbb5334e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7f0fba4f8143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9350d06dd44e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16" hidden="0" customWidth="1"/>
    <x:col min="8" max="8" width="12" hidden="0" customWidth="1"/>
    <x:col min="9" max="9" width="18" hidden="0" customWidth="1"/>
    <x:col min="10" max="10" width="12" hidden="0" customWidth="1"/>
    <x:col min="11" max="11" width="18" hidden="0" customWidth="1"/>
    <x:col min="12" max="12" width="12" hidden="0" customWidth="1"/>
  </x:cols>
  <x:sheetData>
    <x:row r="1" ht="32" customHeight="1">
      <x:c r="A1" s="3" t="str">
        <x:v>重庆主城入境深度旅行数据库｜V0.2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范围：主城；结构：3天核心＋第4天二选一；网络检查：2026-07-28。不包含武隆、大足。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42" t="str">
        <x:v>点位条目</x:v>
      </x:c>
      <x:c r="B4" s="43"/>
      <x:c r="C4" s="42" t="str">
        <x:v>必去核心</x:v>
      </x:c>
      <x:c r="D4" s="43"/>
      <x:c r="E4" s="42" t="str">
        <x:v>证据A/B</x:v>
      </x:c>
      <x:c r="F4" s="43"/>
      <x:c r="G4" s="42" t="str">
        <x:v>路线段</x:v>
      </x:c>
      <x:c r="H4" s="43"/>
      <x:c r="I4" s="42" t="str">
        <x:v>待现场核验</x:v>
      </x:c>
      <x:c r="J4" s="43"/>
      <x:c r="K4" s="42" t="str">
        <x:v>来源条目</x:v>
      </x:c>
      <x:c r="L4" s="43"/>
    </x:row>
    <x:row r="5" ht="28" customHeight="1">
      <x:c r="A5" s="46" t="n">
        <x:f>COUNTA('主城点位库'!A6:A60)</x:f>
        <x:v>40</x:v>
      </x:c>
      <x:c r="B5" s="47"/>
      <x:c r="C5" s="46" t="n">
        <x:f>COUNTIF('主城点位库'!F6:F60,"必去核心")</x:f>
        <x:v>14</x:v>
      </x:c>
      <x:c r="D5" s="47"/>
      <x:c r="E5" s="46" t="n">
        <x:f>COUNTIF('主城点位库'!T6:T60,"A")+COUNTIF('主城点位库'!T6:T60,"B")</x:f>
        <x:v>31</x:v>
      </x:c>
      <x:c r="F5" s="47"/>
      <x:c r="G5" s="46" t="n">
        <x:f>COUNTA('4天路线'!A6:A60)</x:f>
        <x:v>34</x:v>
      </x:c>
      <x:c r="H5" s="47"/>
      <x:c r="I5" s="46" t="n">
        <x:f>COUNTIF('实地核验清单'!F6:F60,"未开始")</x:f>
        <x:v>30</x:v>
      </x:c>
      <x:c r="J5" s="47"/>
      <x:c r="K5" s="46" t="n">
        <x:f>COUNTA('来源台账'!A6:A60)</x:f>
        <x:v>34</x:v>
      </x:c>
      <x:c r="L5" s="47"/>
    </x:row>
    <x:row r="7">
      <x:c r="A7" s="48" t="str">
        <x:v>正式产品结构</x:v>
      </x:c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</x:row>
    <x:row r="8" ht="38" customHeight="1">
      <x:c r="A8" s="51" t="str">
        <x:v>D1</x:v>
      </x:c>
      <x:c r="B8" s="51" t="str">
        <x:v>立体城市如何运转</x:v>
      </x:c>
      <x:c r="C8" s="71" t="str">
        <x:v>解放碑—罗汉寺—魁星楼—朝天门—洪崖洞外观—千厮门夜景；有官方排期再加无人机秀</x:v>
      </x:c>
      <x:c r="D8" s="72"/>
      <x:c r="E8" s="72"/>
      <x:c r="F8" s="72"/>
      <x:c r="G8" s="72"/>
      <x:c r="H8" s="72"/>
      <x:c r="I8" s="72"/>
      <x:c r="J8" s="72"/>
      <x:c r="K8" s="72"/>
      <x:c r="L8" s="73"/>
    </x:row>
    <x:row r="9" ht="38" customHeight="1">
      <x:c r="A9" s="51" t="str">
        <x:v>D2</x:v>
      </x:c>
      <x:c r="B9" s="51" t="str">
        <x:v>母城、移民与城门</x:v>
      </x:c>
      <x:c r="C9" s="74" t="str">
        <x:v>湖广会馆—东水门—白象街—通远门—山城步道—十八梯比较—火锅体验</x:v>
      </x:c>
      <x:c r="D9" s="75"/>
      <x:c r="E9" s="75"/>
      <x:c r="F9" s="75"/>
      <x:c r="G9" s="75"/>
      <x:c r="H9" s="75"/>
      <x:c r="I9" s="75"/>
      <x:c r="J9" s="75"/>
      <x:c r="K9" s="75"/>
      <x:c r="L9" s="76"/>
    </x:row>
    <x:row r="10" ht="38" customHeight="1">
      <x:c r="A10" s="51" t="str">
        <x:v>D3</x:v>
      </x:c>
      <x:c r="B10" s="51" t="str">
        <x:v>抗战陪都与世界重庆</x:v>
      </x:c>
      <x:c r="C10" s="74" t="str">
        <x:v>三峡博物馆—中山四路—史迪威博物馆—2号线—李子坝短停—鹅岭复盘</x:v>
      </x:c>
      <x:c r="D10" s="75"/>
      <x:c r="E10" s="75"/>
      <x:c r="F10" s="75"/>
      <x:c r="G10" s="75"/>
      <x:c r="H10" s="75"/>
      <x:c r="I10" s="75"/>
      <x:c r="J10" s="75"/>
      <x:c r="K10" s="75"/>
      <x:c r="L10" s="76"/>
    </x:row>
    <x:row r="11" ht="38" customHeight="1">
      <x:c r="A11" s="51" t="str">
        <x:v>D4A</x:v>
      </x:c>
      <x:c r="B11" s="51" t="str">
        <x:v>开埠史＋南岸山路</x:v>
      </x:c>
      <x:c r="C11" s="74" t="str">
        <x:v>开埠遗址公园—黄葛古道—黄桷垭—龙门浩/下浩里；适合历史＋徒步</x:v>
      </x:c>
      <x:c r="D11" s="75"/>
      <x:c r="E11" s="75"/>
      <x:c r="F11" s="75"/>
      <x:c r="G11" s="75"/>
      <x:c r="H11" s="75"/>
      <x:c r="I11" s="75"/>
      <x:c r="J11" s="75"/>
      <x:c r="K11" s="75"/>
      <x:c r="L11" s="76"/>
    </x:row>
    <x:row r="12" ht="38" customHeight="1">
      <x:c r="A12" s="51" t="str">
        <x:v>D4B</x:v>
      </x:c>
      <x:c r="B12" s="51" t="str">
        <x:v>工业＋艺术＋日常</x:v>
      </x:c>
      <x:c r="C12" s="77" t="str">
        <x:v>2号线—交通茶馆—黄桷坪/川美—建川博物馆；适合工业＋艺术</x:v>
      </x:c>
      <x:c r="D12" s="78"/>
      <x:c r="E12" s="78"/>
      <x:c r="F12" s="78"/>
      <x:c r="G12" s="78"/>
      <x:c r="H12" s="78"/>
      <x:c r="I12" s="78"/>
      <x:c r="J12" s="78"/>
      <x:c r="K12" s="78"/>
      <x:c r="L12" s="79"/>
    </x:row>
    <x:row r="14">
      <x:c r="A14" s="81" t="str">
        <x:v>本轮已经纠正的判断</x:v>
      </x:c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</x:row>
    <x:row r="15" ht="38" customHeight="1">
      <x:c r="A15" s="83" t="str">
        <x:v>1</x:v>
      </x:c>
      <x:c r="B15" s="83" t="str">
        <x:v>不再以大足/武隆占用主城产品篇幅</x:v>
      </x:c>
      <x:c r="C15" s="102" t="str">
        <x:v>主城本身足以支持4晚停留；外延产品待主城完成后另建模块</x:v>
      </x:c>
      <x:c r="D15" s="103"/>
      <x:c r="E15" s="103"/>
      <x:c r="F15" s="103"/>
      <x:c r="G15" s="103"/>
      <x:c r="H15" s="103"/>
      <x:c r="I15" s="103"/>
      <x:c r="J15" s="103"/>
      <x:c r="K15" s="103"/>
      <x:c r="L15" s="104"/>
    </x:row>
    <x:row r="16" ht="38" customHeight="1">
      <x:c r="A16" s="83" t="str">
        <x:v>2</x:v>
      </x:c>
      <x:c r="B16" s="83" t="str">
        <x:v>前三天固定，第4天按兴趣分流</x:v>
      </x:c>
      <x:c r="C16" s="105" t="str">
        <x:v>避免所有人被迫接受同一条第4天；D4A与D4B承担不同客群</x:v>
      </x:c>
      <x:c r="D16" s="106"/>
      <x:c r="E16" s="106"/>
      <x:c r="F16" s="106"/>
      <x:c r="G16" s="106"/>
      <x:c r="H16" s="106"/>
      <x:c r="I16" s="106"/>
      <x:c r="J16" s="106"/>
      <x:c r="K16" s="106"/>
      <x:c r="L16" s="107"/>
    </x:row>
    <x:row r="17" ht="38" customHeight="1">
      <x:c r="A17" s="83" t="str">
        <x:v>3</x:v>
      </x:c>
      <x:c r="B17" s="83" t="str">
        <x:v>洪崖洞外观核心、内部限时；十八梯降级</x:v>
      </x:c>
      <x:c r="C17" s="105" t="str">
        <x:v>保留海外流量钩子，同时降低商业噪音与重复街区</x:v>
      </x:c>
      <x:c r="D17" s="106"/>
      <x:c r="E17" s="106"/>
      <x:c r="F17" s="106"/>
      <x:c r="G17" s="106"/>
      <x:c r="H17" s="106"/>
      <x:c r="I17" s="106"/>
      <x:c r="J17" s="106"/>
      <x:c r="K17" s="106"/>
      <x:c r="L17" s="107"/>
    </x:row>
    <x:row r="18" ht="38" customHeight="1">
      <x:c r="A18" s="83" t="str">
        <x:v>4</x:v>
      </x:c>
      <x:c r="B18" s="83" t="str">
        <x:v>李子坝乘车核心，观景台因施工改为条件推荐</x:v>
      </x:c>
      <x:c r="C18" s="105" t="str">
        <x:v>施工预计到2026-12-30，出入口与垂直动线需要每月复核</x:v>
      </x:c>
      <x:c r="D18" s="106"/>
      <x:c r="E18" s="106"/>
      <x:c r="F18" s="106"/>
      <x:c r="G18" s="106"/>
      <x:c r="H18" s="106"/>
      <x:c r="I18" s="106"/>
      <x:c r="J18" s="106"/>
      <x:c r="K18" s="106"/>
      <x:c r="L18" s="107"/>
    </x:row>
    <x:row r="19" ht="38" customHeight="1">
      <x:c r="A19" s="83" t="str">
        <x:v>5</x:v>
      </x:c>
      <x:c r="B19" s="83" t="str">
        <x:v>深度内容用观察任务＋解释框架＋禁用套话形成壁垒</x:v>
      </x:c>
      <x:c r="C19" s="108" t="str">
        <x:v>Google和通用AI可列景点，但难以完成现场边界、坡度、取舍与供应商履约</x:v>
      </x:c>
      <x:c r="D19" s="109"/>
      <x:c r="E19" s="109"/>
      <x:c r="F19" s="109"/>
      <x:c r="G19" s="109"/>
      <x:c r="H19" s="109"/>
      <x:c r="I19" s="109"/>
      <x:c r="J19" s="109"/>
      <x:c r="K19" s="109"/>
      <x:c r="L19" s="110"/>
    </x:row>
    <x:row r="21">
      <x:c r="A21" s="48" t="str">
        <x:v>下一步只需要你判断的4件事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</x:row>
    <x:row r="22" ht="40" customHeight="1">
      <x:c r="A22" s="112" t="str">
        <x:v>Q1</x:v>
      </x:c>
      <x:c r="B22" s="112" t="str">
        <x:v>第4天默认卖D4A还是D4B？</x:v>
      </x:c>
      <x:c r="C22" s="131" t="str">
        <x:v>建议先D4A：开埠史与黄葛古道更能体现重庆差异；D4B为艺术客群替换</x:v>
      </x:c>
      <x:c r="D22" s="132"/>
      <x:c r="E22" s="132"/>
      <x:c r="F22" s="132"/>
      <x:c r="G22" s="132"/>
      <x:c r="H22" s="132"/>
      <x:c r="I22" s="132"/>
      <x:c r="J22" s="132"/>
      <x:c r="K22" s="132"/>
      <x:c r="L22" s="133"/>
    </x:row>
    <x:row r="23" ht="40" customHeight="1">
      <x:c r="A23" s="112" t="str">
        <x:v>Q2</x:v>
      </x:c>
      <x:c r="B23" s="112" t="str">
        <x:v>中山四路的政治史比重是否过高？</x:v>
      </x:c>
      <x:c r="C23" s="134" t="str">
        <x:v>建议保留，但用国际史、城市迁移与普通人经验平衡单一叙事</x:v>
      </x:c>
      <x:c r="D23" s="135"/>
      <x:c r="E23" s="135"/>
      <x:c r="F23" s="135"/>
      <x:c r="G23" s="135"/>
      <x:c r="H23" s="135"/>
      <x:c r="I23" s="135"/>
      <x:c r="J23" s="135"/>
      <x:c r="K23" s="135"/>
      <x:c r="L23" s="136"/>
    </x:row>
    <x:row r="24" ht="40" customHeight="1">
      <x:c r="A24" s="112" t="str">
        <x:v>Q3</x:v>
      </x:c>
      <x:c r="B24" s="112" t="str">
        <x:v>交通茶馆是否值得保留？</x:v>
      </x:c>
      <x:c r="C24" s="134" t="str">
        <x:v>建议条件保留：必须先与店方确认拍摄、团队人数和英语规则</x:v>
      </x:c>
      <x:c r="D24" s="135"/>
      <x:c r="E24" s="135"/>
      <x:c r="F24" s="135"/>
      <x:c r="G24" s="135"/>
      <x:c r="H24" s="135"/>
      <x:c r="I24" s="135"/>
      <x:c r="J24" s="135"/>
      <x:c r="K24" s="135"/>
      <x:c r="L24" s="136"/>
    </x:row>
    <x:row r="25" ht="40" customHeight="1">
      <x:c r="A25" s="112" t="str">
        <x:v>Q4</x:v>
      </x:c>
      <x:c r="B25" s="112" t="str">
        <x:v>首批是否同步做低台阶版本？</x:v>
      </x:c>
      <x:c r="C25" s="137" t="str">
        <x:v>建议第二轮单独做；低体力路线不是在原路线旁加括号</x:v>
      </x:c>
      <x:c r="D25" s="138"/>
      <x:c r="E25" s="138"/>
      <x:c r="F25" s="138"/>
      <x:c r="G25" s="138"/>
      <x:c r="H25" s="138"/>
      <x:c r="I25" s="138"/>
      <x:c r="J25" s="138"/>
      <x:c r="K25" s="138"/>
      <x:c r="L25" s="139"/>
    </x:row>
  </x:sheetData>
  <x:mergeCells>
    <x:mergeCell ref="A1:L1"/>
    <x:mergeCell ref="A2:L2"/>
    <x:mergeCell ref="A7:L7"/>
    <x:mergeCell ref="C8:L8"/>
    <x:mergeCell ref="C9:L9"/>
    <x:mergeCell ref="C10:L10"/>
    <x:mergeCell ref="C11:L11"/>
    <x:mergeCell ref="C12:L12"/>
    <x:mergeCell ref="A14:L14"/>
    <x:mergeCell ref="C15:L15"/>
    <x:mergeCell ref="C16:L16"/>
    <x:mergeCell ref="C17:L17"/>
    <x:mergeCell ref="C18:L18"/>
    <x:mergeCell ref="C19:L19"/>
    <x:mergeCell ref="A21:L21"/>
    <x:mergeCell ref="C22:L22"/>
    <x:mergeCell ref="C23:L23"/>
    <x:mergeCell ref="C24:L24"/>
    <x:mergeCell ref="C25:L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10" hidden="0" customWidth="1"/>
    <x:col min="4" max="4" width="24" hidden="0" customWidth="1"/>
    <x:col min="5" max="5" width="12" hidden="0" customWidth="1"/>
    <x:col min="6" max="6" width="28" hidden="0" customWidth="1"/>
    <x:col min="7" max="7" width="12" hidden="0" customWidth="1"/>
    <x:col min="8" max="8" width="12" hidden="0" customWidth="1"/>
    <x:col min="9" max="9" width="18" hidden="0" customWidth="1"/>
    <x:col min="10" max="10" width="32" hidden="0" customWidth="1"/>
    <x:col min="11" max="11" width="34" hidden="0" customWidth="1"/>
    <x:col min="12" max="12" width="10" hidden="0" customWidth="1"/>
    <x:col min="13" max="13" width="22" hidden="0" customWidth="1"/>
    <x:col min="14" max="14" width="22" hidden="0" customWidth="1"/>
    <x:col min="15" max="15" width="10" hidden="0" customWidth="1"/>
    <x:col min="16" max="16" width="38" hidden="0" customWidth="1"/>
    <x:col min="17" max="17" width="28" hidden="0" customWidth="1"/>
  </x:cols>
  <x:sheetData>
    <x:row r="1" ht="32" customHeight="1">
      <x:c r="A1" s="3" t="str">
        <x:v>Beyond Cyberpunk Chongqing｜主城3天核心＋第4天二选一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D1—D3为固定主线；D4A适合历史与徒步，D4B适合工业与艺术。所有门到门时间、坡度和英语服务仍需实走/电话核验。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5" ht="34" customHeight="1">
      <x:c r="A5" s="11" t="str">
        <x:v>段ID</x:v>
      </x:c>
      <x:c r="B5" s="11" t="str">
        <x:v>版本</x:v>
      </x:c>
      <x:c r="C5" s="11" t="str">
        <x:v>类型</x:v>
      </x:c>
      <x:c r="D5" s="11" t="str">
        <x:v>主题</x:v>
      </x:c>
      <x:c r="E5" s="11" t="str">
        <x:v>建议开始</x:v>
      </x:c>
      <x:c r="F5" s="11" t="str">
        <x:v>节点</x:v>
      </x:c>
      <x:c r="G5" s="11" t="str">
        <x:v>停留(分钟)</x:v>
      </x:c>
      <x:c r="H5" s="11" t="str">
        <x:v>转场(分钟)</x:v>
      </x:c>
      <x:c r="I5" s="11" t="str">
        <x:v>交通</x:v>
      </x:c>
      <x:c r="J5" s="11" t="str">
        <x:v>为什么放这里</x:v>
      </x:c>
      <x:c r="K5" s="11" t="str">
        <x:v>必须讲清</x:v>
      </x:c>
      <x:c r="L5" s="11" t="str">
        <x:v>体力</x:v>
      </x:c>
      <x:c r="M5" s="11" t="str">
        <x:v>外国人摩擦</x:v>
      </x:c>
      <x:c r="N5" s="11" t="str">
        <x:v>雨天/低体力</x:v>
      </x:c>
      <x:c r="O5" s="11" t="str">
        <x:v>状态</x:v>
      </x:c>
      <x:c r="P5" s="11" t="str">
        <x:v>来源URL</x:v>
      </x:c>
      <x:c r="Q5" s="11" t="str">
        <x:v>待核验</x:v>
      </x:c>
    </x:row>
    <x:row r="6" ht="48" customHeight="1">
      <x:c r="A6" s="19" t="str">
        <x:v>D1-01</x:v>
      </x:c>
      <x:c r="B6" s="19" t="str">
        <x:v>D1</x:v>
      </x:c>
      <x:c r="C6" s="19" t="str">
        <x:v>核心</x:v>
      </x:c>
      <x:c r="D6" s="19" t="str">
        <x:v>立体城市如何运转</x:v>
      </x:c>
      <x:c r="E6" s="19" t="str">
        <x:v>09:00</x:v>
      </x:c>
      <x:c r="F6" s="19" t="str">
        <x:v>解放碑纪念碑</x:v>
      </x:c>
      <x:c r="G6" s="29" t="str">
        <x:v>30</x:v>
      </x:c>
      <x:c r="H6" s="29" t="n">
        <x:v>10</x:v>
      </x:c>
      <x:c r="I6" s="19" t="str">
        <x:v>步行</x:v>
      </x:c>
      <x:c r="J6" s="19" t="str">
        <x:v>先建立方向与时间坐标</x:v>
      </x:c>
      <x:c r="K6" s="19" t="str">
        <x:v>碑的纪念属性；商业中心迁移</x:v>
      </x:c>
      <x:c r="L6" s="19" t="str">
        <x:v>低</x:v>
      </x:c>
      <x:c r="M6" s="19" t="str">
        <x:v>地图出口</x:v>
      </x:c>
      <x:c r="N6" s="19" t="str">
        <x:v>雨天保留</x:v>
      </x:c>
      <x:c r="O6" s="19" t="str">
        <x:v>核心</x:v>
      </x:c>
      <x:c r="P6" s="19" t="str">
        <x:v>https://www.cq.gov.cn/ywdt/zwhd/qxdt/202009/t20200907_8628081.html</x:v>
      </x:c>
      <x:c r="Q6" s="19" t="str">
        <x:v>清晨人流/讲解站位</x:v>
      </x:c>
    </x:row>
    <x:row r="7" ht="48" customHeight="1">
      <x:c r="A7" s="20" t="str">
        <x:v>D1-02</x:v>
      </x:c>
      <x:c r="B7" s="20" t="str">
        <x:v>D1</x:v>
      </x:c>
      <x:c r="C7" s="20" t="str">
        <x:v>核心</x:v>
      </x:c>
      <x:c r="D7" s="20" t="str">
        <x:v>立体城市如何运转</x:v>
      </x:c>
      <x:c r="E7" s="20" t="str">
        <x:v>09:40</x:v>
      </x:c>
      <x:c r="F7" s="20" t="str">
        <x:v>罗汉寺</x:v>
      </x:c>
      <x:c r="G7" s="30" t="str">
        <x:v>45</x:v>
      </x:c>
      <x:c r="H7" s="30" t="n">
        <x:v>15</x:v>
      </x:c>
      <x:c r="I7" s="20" t="str">
        <x:v>步行</x:v>
      </x:c>
      <x:c r="J7" s="20" t="str">
        <x:v>用安静院落对照高密商业</x:v>
      </x:c>
      <x:c r="K7" s="20" t="str">
        <x:v>宗教礼仪；不只讲电影取景</x:v>
      </x:c>
      <x:c r="L7" s="20" t="str">
        <x:v>低</x:v>
      </x:c>
      <x:c r="M7" s="20" t="str">
        <x:v>英文解释</x:v>
      </x:c>
      <x:c r="N7" s="20" t="str">
        <x:v>雨天核心</x:v>
      </x:c>
      <x:c r="O7" s="20" t="str">
        <x:v>核心</x:v>
      </x:c>
      <x:c r="P7" s="20" t="str">
        <x:v>https://www.cq.gov.cn/zwgk/zfxxgkml/zdlyxxgk/ggwh/ly/zxdt/202511/t20251107_15146900.html</x:v>
      </x:c>
      <x:c r="Q7" s="20" t="str">
        <x:v>开放/票价/拍摄</x:v>
      </x:c>
    </x:row>
    <x:row r="8" ht="48" customHeight="1">
      <x:c r="A8" s="20" t="str">
        <x:v>D1-03</x:v>
      </x:c>
      <x:c r="B8" s="20" t="str">
        <x:v>D1</x:v>
      </x:c>
      <x:c r="C8" s="20" t="str">
        <x:v>核心</x:v>
      </x:c>
      <x:c r="D8" s="20" t="str">
        <x:v>立体城市如何运转</x:v>
      </x:c>
      <x:c r="E8" s="20" t="str">
        <x:v>10:45</x:v>
      </x:c>
      <x:c r="F8" s="20" t="str">
        <x:v>魁星楼高差平台</x:v>
      </x:c>
      <x:c r="G8" s="30" t="str">
        <x:v>30</x:v>
      </x:c>
      <x:c r="H8" s="30" t="n">
        <x:v>20</x:v>
      </x:c>
      <x:c r="I8" s="20" t="str">
        <x:v>步行</x:v>
      </x:c>
      <x:c r="J8" s="20" t="str">
        <x:v>第一次演示多重地面</x:v>
      </x:c>
      <x:c r="K8" s="20" t="str">
        <x:v>22层广场不是噱头，而是连接系统</x:v>
      </x:c>
      <x:c r="L8" s="20" t="str">
        <x:v>中</x:v>
      </x:c>
      <x:c r="M8" s="20" t="str">
        <x:v>入口层级</x:v>
      </x:c>
      <x:c r="N8" s="20" t="str">
        <x:v>大雨防滑</x:v>
      </x:c>
      <x:c r="O8" s="20" t="str">
        <x:v>核心</x:v>
      </x:c>
      <x:c r="P8" s="20" t="str">
        <x:v>https://doi.org/10.17645/up.v7i4.5810</x:v>
      </x:c>
      <x:c r="Q8" s="20" t="str">
        <x:v>多入口/无障碍</x:v>
      </x:c>
    </x:row>
    <x:row r="9" ht="48" customHeight="1">
      <x:c r="A9" s="20" t="str">
        <x:v>D1-04</x:v>
      </x:c>
      <x:c r="B9" s="20" t="str">
        <x:v>D1</x:v>
      </x:c>
      <x:c r="C9" s="20" t="str">
        <x:v>用餐</x:v>
      </x:c>
      <x:c r="D9" s="20" t="str">
        <x:v>立体城市如何运转</x:v>
      </x:c>
      <x:c r="E9" s="20" t="str">
        <x:v>11:45</x:v>
      </x:c>
      <x:c r="F9" s="20" t="str">
        <x:v>小面或轻午餐</x:v>
      </x:c>
      <x:c r="G9" s="30" t="str">
        <x:v>60</x:v>
      </x:c>
      <x:c r="H9" s="30" t="n">
        <x:v>30</x:v>
      </x:c>
      <x:c r="I9" s="20" t="str">
        <x:v>步行/轨道</x:v>
      </x:c>
      <x:c r="J9" s="20" t="str">
        <x:v>避免第一天中午重辣透支</x:v>
      </x:c>
      <x:c r="K9" s="20" t="str">
        <x:v>二两三两、辣度和独立点餐</x:v>
      </x:c>
      <x:c r="L9" s="20" t="str">
        <x:v>低</x:v>
      </x:c>
      <x:c r="M9" s="20" t="str">
        <x:v>中文菜单</x:v>
      </x:c>
      <x:c r="N9" s="20" t="str">
        <x:v>室内</x:v>
      </x:c>
      <x:c r="O9" s="20" t="str">
        <x:v>核心</x:v>
      </x:c>
      <x:c r="P9" s="20" t="str">
        <x:v>https://whlyw.cq.gov.cn/zwgk_221/zfgkzcwj/qtwj/202607/t20260709_15810099.html</x:v>
      </x:c>
      <x:c r="Q9" s="20" t="str">
        <x:v>候选店/过敏</x:v>
      </x:c>
    </x:row>
    <x:row r="10" ht="48" customHeight="1">
      <x:c r="A10" s="20" t="str">
        <x:v>D1-05</x:v>
      </x:c>
      <x:c r="B10" s="20" t="str">
        <x:v>D1</x:v>
      </x:c>
      <x:c r="C10" s="20" t="str">
        <x:v>核心</x:v>
      </x:c>
      <x:c r="D10" s="20" t="str">
        <x:v>立体城市如何运转</x:v>
      </x:c>
      <x:c r="E10" s="20" t="str">
        <x:v>13:30</x:v>
      </x:c>
      <x:c r="F10" s="20" t="str">
        <x:v>朝天门与两江江岸</x:v>
      </x:c>
      <x:c r="G10" s="30" t="str">
        <x:v>75</x:v>
      </x:c>
      <x:c r="H10" s="30" t="n">
        <x:v>35</x:v>
      </x:c>
      <x:c r="I10" s="20" t="str">
        <x:v>轨道/步行</x:v>
      </x:c>
      <x:c r="J10" s="20" t="str">
        <x:v>从城门与码头读城市门户</x:v>
      </x:c>
      <x:c r="K10" s="20" t="str">
        <x:v>长江、嘉陵江、城门和港口</x:v>
      </x:c>
      <x:c r="L10" s="20" t="str">
        <x:v>中</x:v>
      </x:c>
      <x:c r="M10" s="20" t="str">
        <x:v>地下出口</x:v>
      </x:c>
      <x:c r="N10" s="20" t="str">
        <x:v>暴雨转室内</x:v>
      </x:c>
      <x:c r="O10" s="20" t="str">
        <x:v>核心</x:v>
      </x:c>
      <x:c r="P10" s="20" t="str">
        <x:v>https://www.cq.gov.cn/zwgk/zfxxgkml/zdlyxxgk/ggwh/ly/zxdt/202511/t20251107_15146900.html</x:v>
      </x:c>
      <x:c r="Q10" s="20" t="str">
        <x:v>江岸入口/座椅/厕所</x:v>
      </x:c>
    </x:row>
    <x:row r="11" ht="48" customHeight="1">
      <x:c r="A11" s="20" t="str">
        <x:v>D1-06</x:v>
      </x:c>
      <x:c r="B11" s="20" t="str">
        <x:v>D1</x:v>
      </x:c>
      <x:c r="C11" s="20" t="str">
        <x:v>核心</x:v>
      </x:c>
      <x:c r="D11" s="20" t="str">
        <x:v>立体城市如何运转</x:v>
      </x:c>
      <x:c r="E11" s="20" t="str">
        <x:v>16:30</x:v>
      </x:c>
      <x:c r="F11" s="20" t="str">
        <x:v>洪崖洞外观与层级</x:v>
      </x:c>
      <x:c r="G11" s="30" t="str">
        <x:v>45</x:v>
      </x:c>
      <x:c r="H11" s="30" t="n">
        <x:v>45</x:v>
      </x:c>
      <x:c r="I11" s="20" t="str">
        <x:v>步行/休息</x:v>
      </x:c>
      <x:c r="J11" s="20" t="str">
        <x:v>白天先看结构，内部不久留</x:v>
      </x:c>
      <x:c r="K11" s="20" t="str">
        <x:v>历史意象、现代重建与城市品牌</x:v>
      </x:c>
      <x:c r="L11" s="20" t="str">
        <x:v>中</x:v>
      </x:c>
      <x:c r="M11" s="20" t="str">
        <x:v>人流/出口</x:v>
      </x:c>
      <x:c r="N11" s="20" t="str">
        <x:v>大雨删除</x:v>
      </x:c>
      <x:c r="O11" s="20" t="str">
        <x:v>核心</x:v>
      </x:c>
      <x:c r="P11" s="20" t="str">
        <x:v>https://eprints.whiterose.ac.uk/id/eprint/185301/</x:v>
      </x:c>
      <x:c r="Q11" s="20" t="str">
        <x:v>亮灯/退出点</x:v>
      </x:c>
    </x:row>
    <x:row r="12" ht="48" customHeight="1">
      <x:c r="A12" s="20" t="str">
        <x:v>D1-07</x:v>
      </x:c>
      <x:c r="B12" s="20" t="str">
        <x:v>D1</x:v>
      </x:c>
      <x:c r="C12" s="20" t="str">
        <x:v>核心</x:v>
      </x:c>
      <x:c r="D12" s="20" t="str">
        <x:v>立体城市如何运转</x:v>
      </x:c>
      <x:c r="E12" s="20" t="str">
        <x:v>18:30</x:v>
      </x:c>
      <x:c r="F12" s="20" t="str">
        <x:v>千厮门—大剧院江岸夜景</x:v>
      </x:c>
      <x:c r="G12" s="30" t="str">
        <x:v>75</x:v>
      </x:c>
      <x:c r="H12" s="30" t="n">
        <x:v>20</x:v>
      </x:c>
      <x:c r="I12" s="20" t="str">
        <x:v>步行过桥/轨道</x:v>
      </x:c>
      <x:c r="J12" s="20" t="str">
        <x:v>用外部视角完成城市读图</x:v>
      </x:c>
      <x:c r="K12" s="20" t="str">
        <x:v>桥、崖、江、楼群的整体关系</x:v>
      </x:c>
      <x:c r="L12" s="20" t="str">
        <x:v>中</x:v>
      </x:c>
      <x:c r="M12" s="20" t="str">
        <x:v>桥面管制</x:v>
      </x:c>
      <x:c r="N12" s="20" t="str">
        <x:v>雨天缩短</x:v>
      </x:c>
      <x:c r="O12" s="20" t="str">
        <x:v>核心</x:v>
      </x:c>
      <x:c r="P12" s="20" t="str">
        <x:v>https://www.cq.gov.cn/zwgk/zfxxgkml/zdlyxxgk/ggwh/ly/zxdt/202511/t20251107_15146900.html</x:v>
      </x:c>
      <x:c r="Q12" s="20" t="str">
        <x:v>桥面开放/机位容量</x:v>
      </x:c>
    </x:row>
    <x:row r="13" ht="48" customHeight="1">
      <x:c r="A13" s="20" t="str">
        <x:v>D1-08</x:v>
      </x:c>
      <x:c r="B13" s="20" t="str">
        <x:v>D1</x:v>
      </x:c>
      <x:c r="C13" s="20" t="str">
        <x:v>条件</x:v>
      </x:c>
      <x:c r="D13" s="20" t="str">
        <x:v>立体城市如何运转</x:v>
      </x:c>
      <x:c r="E13" s="20" t="str">
        <x:v>20:30</x:v>
      </x:c>
      <x:c r="F13" s="20" t="str">
        <x:v>无人机灯光秀（有排期才加）</x:v>
      </x:c>
      <x:c r="G13" s="30" t="str">
        <x:v>40</x:v>
      </x:c>
      <x:c r="H13" s="30" t="n">
        <x:v>0</x:v>
      </x:c>
      <x:c r="I13" s="20" t="str">
        <x:v>原地/步行</x:v>
      </x:c>
      <x:c r="J13" s="20" t="str">
        <x:v>只作为当代城市模块</x:v>
      </x:c>
      <x:c r="K13" s="20" t="str">
        <x:v>城市品牌、低空治理与大客流</x:v>
      </x:c>
      <x:c r="L13" s="20" t="str">
        <x:v>低</x:v>
      </x:c>
      <x:c r="M13" s="20" t="str">
        <x:v>月度排期</x:v>
      </x:c>
      <x:c r="N13" s="20" t="str">
        <x:v>天气取消</x:v>
      </x:c>
      <x:c r="O13" s="20" t="str">
        <x:v>条件</x:v>
      </x:c>
      <x:c r="P13" s="20" t="str">
        <x:v>https://www.cq.gov.cn/ywdt/jrcq/202605/t20260531_15716501_app.html</x:v>
      </x:c>
      <x:c r="Q13" s="20" t="str">
        <x:v>当月排期/疏散</x:v>
      </x:c>
    </x:row>
    <x:row r="14" ht="48" customHeight="1">
      <x:c r="A14" s="20" t="str">
        <x:v>D2-01</x:v>
      </x:c>
      <x:c r="B14" s="20" t="str">
        <x:v>D2</x:v>
      </x:c>
      <x:c r="C14" s="20" t="str">
        <x:v>核心</x:v>
      </x:c>
      <x:c r="D14" s="20" t="str">
        <x:v>母城、移民与城门</x:v>
      </x:c>
      <x:c r="E14" s="20" t="str">
        <x:v>09:00</x:v>
      </x:c>
      <x:c r="F14" s="20" t="str">
        <x:v>湖广会馆</x:v>
      </x:c>
      <x:c r="G14" s="30" t="str">
        <x:v>90</x:v>
      </x:c>
      <x:c r="H14" s="30" t="n">
        <x:v>15</x:v>
      </x:c>
      <x:c r="I14" s="20" t="str">
        <x:v>轨道+步行</x:v>
      </x:c>
      <x:c r="J14" s="20" t="str">
        <x:v>先理解移民如何重塑人口与商业</x:v>
      </x:c>
      <x:c r="K14" s="20" t="str">
        <x:v>会馆的互助、商业、信仰功能</x:v>
      </x:c>
      <x:c r="L14" s="20" t="str">
        <x:v>中</x:v>
      </x:c>
      <x:c r="M14" s="20" t="str">
        <x:v>护照/英文</x:v>
      </x:c>
      <x:c r="N14" s="20" t="str">
        <x:v>雨天核心</x:v>
      </x:c>
      <x:c r="O14" s="20" t="str">
        <x:v>核心</x:v>
      </x:c>
      <x:c r="P14" s="20" t="str">
        <x:v>https://whlyw.cq.gov.cn/zjwl/yzq/cqwlzy/zqwwzy/202405/t20240507_13182428.html</x:v>
      </x:c>
      <x:c r="Q14" s="20" t="str">
        <x:v>英文导览/演出</x:v>
      </x:c>
    </x:row>
    <x:row r="15" ht="48" customHeight="1">
      <x:c r="A15" s="20" t="str">
        <x:v>D2-02</x:v>
      </x:c>
      <x:c r="B15" s="20" t="str">
        <x:v>D2</x:v>
      </x:c>
      <x:c r="C15" s="20" t="str">
        <x:v>核心</x:v>
      </x:c>
      <x:c r="D15" s="20" t="str">
        <x:v>母城、移民与城门</x:v>
      </x:c>
      <x:c r="E15" s="20" t="str">
        <x:v>10:45</x:v>
      </x:c>
      <x:c r="F15" s="20" t="str">
        <x:v>东水门城门城墙</x:v>
      </x:c>
      <x:c r="G15" s="30" t="str">
        <x:v>30</x:v>
      </x:c>
      <x:c r="H15" s="30" t="n">
        <x:v>10</x:v>
      </x:c>
      <x:c r="I15" s="20" t="str">
        <x:v>步行</x:v>
      </x:c>
      <x:c r="J15" s="20" t="str">
        <x:v>把九开八闭落到真实遗存</x:v>
      </x:c>
      <x:c r="K15" s="20" t="str">
        <x:v>水路城门与山江防御</x:v>
      </x:c>
      <x:c r="L15" s="20" t="str">
        <x:v>中</x:v>
      </x:c>
      <x:c r="M15" s="20" t="str">
        <x:v>标识不足</x:v>
      </x:c>
      <x:c r="N15" s="20" t="str">
        <x:v>小雨可</x:v>
      </x:c>
      <x:c r="O15" s="20" t="str">
        <x:v>核心</x:v>
      </x:c>
      <x:c r="P15" s="20" t="str">
        <x:v>https://whlyw.cq.gov.cn/zjwl/yzq/cqwlzy/zqwwzy/202405/t20240507_13182468.html</x:v>
      </x:c>
      <x:c r="Q15" s="20" t="str">
        <x:v>与会馆连线</x:v>
      </x:c>
    </x:row>
    <x:row r="16" ht="48" customHeight="1">
      <x:c r="A16" s="20" t="str">
        <x:v>D2-03</x:v>
      </x:c>
      <x:c r="B16" s="20" t="str">
        <x:v>D2</x:v>
      </x:c>
      <x:c r="C16" s="20" t="str">
        <x:v>核心</x:v>
      </x:c>
      <x:c r="D16" s="20" t="str">
        <x:v>母城、移民与城门</x:v>
      </x:c>
      <x:c r="E16" s="20" t="str">
        <x:v>11:30</x:v>
      </x:c>
      <x:c r="F16" s="20" t="str">
        <x:v>白象街—下半城短段</x:v>
      </x:c>
      <x:c r="G16" s="30" t="str">
        <x:v>60</x:v>
      </x:c>
      <x:c r="H16" s="30" t="n">
        <x:v>20</x:v>
      </x:c>
      <x:c r="I16" s="20" t="str">
        <x:v>步行</x:v>
      </x:c>
      <x:c r="J16" s="20" t="str">
        <x:v>连接码头、开埠、邮政和金融</x:v>
      </x:c>
      <x:c r="K16" s="20" t="str">
        <x:v>新旧建筑边界</x:v>
      </x:c>
      <x:c r="L16" s="20" t="str">
        <x:v>中</x:v>
      </x:c>
      <x:c r="M16" s="20" t="str">
        <x:v>入口/英语</x:v>
      </x:c>
      <x:c r="N16" s="20" t="str">
        <x:v>雨天缩短</x:v>
      </x:c>
      <x:c r="O16" s="20" t="str">
        <x:v>核心</x:v>
      </x:c>
      <x:c r="P16" s="20" t="str">
        <x:v>https://ghzrzyj.cq.gov.cn/bsfw_186/dtfw/mzyt/202511/t20251124_15184222_wap.html</x:v>
      </x:c>
      <x:c r="Q16" s="20" t="str">
        <x:v>开放建筑/展陈</x:v>
      </x:c>
    </x:row>
    <x:row r="17" ht="48" customHeight="1">
      <x:c r="A17" s="20" t="str">
        <x:v>D2-04</x:v>
      </x:c>
      <x:c r="B17" s="20" t="str">
        <x:v>D2</x:v>
      </x:c>
      <x:c r="C17" s="20" t="str">
        <x:v>用餐</x:v>
      </x:c>
      <x:c r="D17" s="20" t="str">
        <x:v>母城、移民与城门</x:v>
      </x:c>
      <x:c r="E17" s="20" t="str">
        <x:v>12:40</x:v>
      </x:c>
      <x:c r="F17" s="20" t="str">
        <x:v>下半城午餐与休息</x:v>
      </x:c>
      <x:c r="G17" s="30" t="str">
        <x:v>70</x:v>
      </x:c>
      <x:c r="H17" s="30" t="n">
        <x:v>25</x:v>
      </x:c>
      <x:c r="I17" s="20" t="str">
        <x:v>步行/短程车</x:v>
      </x:c>
      <x:c r="J17" s="20" t="str">
        <x:v>为下午连续下坡保留体力</x:v>
      </x:c>
      <x:c r="K17" s="20" t="str">
        <x:v>江湖菜或非辣替代</x:v>
      </x:c>
      <x:c r="L17" s="20" t="str">
        <x:v>低</x:v>
      </x:c>
      <x:c r="M17" s="20" t="str">
        <x:v>点菜/过敏</x:v>
      </x:c>
      <x:c r="N17" s="20" t="str">
        <x:v>室内</x:v>
      </x:c>
      <x:c r="O17" s="20" t="str">
        <x:v>核心</x:v>
      </x:c>
      <x:c r="P17" s="20" t="str">
        <x:v>https://whlyw.cq.gov.cn/zjwl/szq/zqms/202411/t20241111_13787035.html</x:v>
      </x:c>
      <x:c r="Q17" s="20" t="str">
        <x:v>餐厅/卫生间</x:v>
      </x:c>
    </x:row>
    <x:row r="18" ht="48" customHeight="1">
      <x:c r="A18" s="20" t="str">
        <x:v>D2-05</x:v>
      </x:c>
      <x:c r="B18" s="20" t="str">
        <x:v>D2</x:v>
      </x:c>
      <x:c r="C18" s="20" t="str">
        <x:v>核心</x:v>
      </x:c>
      <x:c r="D18" s="20" t="str">
        <x:v>母城、移民与城门</x:v>
      </x:c>
      <x:c r="E18" s="20" t="str">
        <x:v>14:15</x:v>
      </x:c>
      <x:c r="F18" s="20" t="str">
        <x:v>通远门</x:v>
      </x:c>
      <x:c r="G18" s="30" t="str">
        <x:v>35</x:v>
      </x:c>
      <x:c r="H18" s="30" t="n">
        <x:v>10</x:v>
      </x:c>
      <x:c r="I18" s="20" t="str">
        <x:v>短程车/步行</x:v>
      </x:c>
      <x:c r="J18" s="20" t="str">
        <x:v>从水路城门切换到陆路城门</x:v>
      </x:c>
      <x:c r="K18" s="20" t="str">
        <x:v>唯一不面水的开门</x:v>
      </x:c>
      <x:c r="L18" s="20" t="str">
        <x:v>低</x:v>
      </x:c>
      <x:c r="M18" s="20" t="str">
        <x:v>英文解释</x:v>
      </x:c>
      <x:c r="N18" s="20" t="str">
        <x:v>小雨可</x:v>
      </x:c>
      <x:c r="O18" s="20" t="str">
        <x:v>核心</x:v>
      </x:c>
      <x:c r="P18" s="20" t="str">
        <x:v>https://www.cqyz.gov.cn/zjyz/lyyz/rmdkd/202202/t20220215_10397616.html</x:v>
      </x:c>
      <x:c r="Q18" s="20" t="str">
        <x:v>到山城巷入口</x:v>
      </x:c>
    </x:row>
    <x:row r="19" ht="48" customHeight="1">
      <x:c r="A19" s="20" t="str">
        <x:v>D2-06</x:v>
      </x:c>
      <x:c r="B19" s="20" t="str">
        <x:v>D2</x:v>
      </x:c>
      <x:c r="C19" s="20" t="str">
        <x:v>核心</x:v>
      </x:c>
      <x:c r="D19" s="20" t="str">
        <x:v>母城、移民与城门</x:v>
      </x:c>
      <x:c r="E19" s="20" t="str">
        <x:v>15:00</x:v>
      </x:c>
      <x:c r="F19" s="20" t="str">
        <x:v>第三山城步道—山城巷（自上而下）</x:v>
      </x:c>
      <x:c r="G19" s="30" t="str">
        <x:v>150</x:v>
      </x:c>
      <x:c r="H19" s="30" t="n">
        <x:v>20</x:v>
      </x:c>
      <x:c r="I19" s="20" t="str">
        <x:v>步行</x:v>
      </x:c>
      <x:c r="J19" s="20" t="str">
        <x:v>用完整路线理解街—巷—院</x:v>
      </x:c>
      <x:c r="K19" s="20" t="str">
        <x:v>步道是交通、社区客厅和历史容器</x:v>
      </x:c>
      <x:c r="L19" s="20" t="str">
        <x:v>高</x:v>
      </x:c>
      <x:c r="M19" s="20" t="str">
        <x:v>导航/台阶</x:v>
      </x:c>
      <x:c r="N19" s="20" t="str">
        <x:v>低体力改室内</x:v>
      </x:c>
      <x:c r="O19" s="20" t="str">
        <x:v>核心</x:v>
      </x:c>
      <x:c r="P19" s="20" t="str">
        <x:v>https://www.shplanning.com.cn/archive/download/id/487.html</x:v>
      </x:c>
      <x:c r="Q19" s="20" t="str">
        <x:v>步数/坡度/退出点</x:v>
      </x:c>
    </x:row>
    <x:row r="20" ht="48" customHeight="1">
      <x:c r="A20" s="20" t="str">
        <x:v>D2-07</x:v>
      </x:c>
      <x:c r="B20" s="20" t="str">
        <x:v>D2</x:v>
      </x:c>
      <x:c r="C20" s="20" t="str">
        <x:v>降级</x:v>
      </x:c>
      <x:c r="D20" s="20" t="str">
        <x:v>母城、移民与城门</x:v>
      </x:c>
      <x:c r="E20" s="20" t="str">
        <x:v>17:50</x:v>
      </x:c>
      <x:c r="F20" s="20" t="str">
        <x:v>十八梯只作比较/通行</x:v>
      </x:c>
      <x:c r="G20" s="30" t="str">
        <x:v>30</x:v>
      </x:c>
      <x:c r="H20" s="30" t="n">
        <x:v>20</x:v>
      </x:c>
      <x:c r="I20" s="20" t="str">
        <x:v>步行</x:v>
      </x:c>
      <x:c r="J20" s="20" t="str">
        <x:v>比较更新方式，不再完整逛街</x:v>
      </x:c>
      <x:c r="K20" s="20" t="str">
        <x:v>记忆再现与商业化</x:v>
      </x:c>
      <x:c r="L20" s="20" t="str">
        <x:v>中</x:v>
      </x:c>
      <x:c r="M20" s="20" t="str">
        <x:v>人流</x:v>
      </x:c>
      <x:c r="N20" s="20" t="str">
        <x:v>可删除</x:v>
      </x:c>
      <x:c r="O20" s="20" t="str">
        <x:v>降级</x:v>
      </x:c>
      <x:c r="P20" s="20" t="str">
        <x:v>https://ghzrzyj.cq.gov.cn/bsfw_186/dtfw/mzyt/202511/t20251124_15184222_wap.html</x:v>
      </x:c>
      <x:c r="Q20" s="20" t="str">
        <x:v>是否保留</x:v>
      </x:c>
    </x:row>
    <x:row r="21" ht="48" customHeight="1">
      <x:c r="A21" s="20" t="str">
        <x:v>D2-08</x:v>
      </x:c>
      <x:c r="B21" s="20" t="str">
        <x:v>D2</x:v>
      </x:c>
      <x:c r="C21" s="20" t="str">
        <x:v>用餐</x:v>
      </x:c>
      <x:c r="D21" s="20" t="str">
        <x:v>母城、移民与城门</x:v>
      </x:c>
      <x:c r="E21" s="20" t="str">
        <x:v>19:00</x:v>
      </x:c>
      <x:c r="F21" s="20" t="str">
        <x:v>双语火锅体验</x:v>
      </x:c>
      <x:c r="G21" s="30" t="str">
        <x:v>150</x:v>
      </x:c>
      <x:c r="H21" s="30" t="n">
        <x:v>0</x:v>
      </x:c>
      <x:c r="I21" s="20" t="str">
        <x:v>步行/短程车</x:v>
      </x:c>
      <x:c r="J21" s="20" t="str">
        <x:v>把食物变成可交付的社交体验</x:v>
      </x:c>
      <x:c r="K21" s="20" t="str">
        <x:v>锅底、油碟、顺序、共享规则</x:v>
      </x:c>
      <x:c r="L21" s="20" t="str">
        <x:v>低</x:v>
      </x:c>
      <x:c r="M21" s="20" t="str">
        <x:v>过敏/英语</x:v>
      </x:c>
      <x:c r="N21" s="20" t="str">
        <x:v>雨天核心</x:v>
      </x:c>
      <x:c r="O21" s="20" t="str">
        <x:v>核心</x:v>
      </x:c>
      <x:c r="P21" s="20" t="str">
        <x:v>https://whlyw.cq.gov.cn/zwgk_221/zfgkzcwj/qtwj/202607/t20260709_15810099.html</x:v>
      </x:c>
      <x:c r="Q21" s="20" t="str">
        <x:v>三家供应商</x:v>
      </x:c>
    </x:row>
    <x:row r="22" ht="48" customHeight="1">
      <x:c r="A22" s="20" t="str">
        <x:v>D3-01</x:v>
      </x:c>
      <x:c r="B22" s="20" t="str">
        <x:v>D3</x:v>
      </x:c>
      <x:c r="C22" s="20" t="str">
        <x:v>核心</x:v>
      </x:c>
      <x:c r="D22" s="20" t="str">
        <x:v>抗战陪都与世界重庆</x:v>
      </x:c>
      <x:c r="E22" s="20" t="str">
        <x:v>09:00</x:v>
      </x:c>
      <x:c r="F22" s="20" t="str">
        <x:v>重庆中国三峡博物馆</x:v>
      </x:c>
      <x:c r="G22" s="30" t="str">
        <x:v>150</x:v>
      </x:c>
      <x:c r="H22" s="30" t="n">
        <x:v>10</x:v>
      </x:c>
      <x:c r="I22" s="20" t="str">
        <x:v>轨道</x:v>
      </x:c>
      <x:c r="J22" s="20" t="str">
        <x:v>补齐巴渝、三峡与抗战框架</x:v>
      </x:c>
      <x:c r="K22" s="20" t="str">
        <x:v>只选与路线有关的展厅</x:v>
      </x:c>
      <x:c r="L22" s="20" t="str">
        <x:v>低</x:v>
      </x:c>
      <x:c r="M22" s="20" t="str">
        <x:v>证件/英文</x:v>
      </x:c>
      <x:c r="N22" s="20" t="str">
        <x:v>雨天核心</x:v>
      </x:c>
      <x:c r="O22" s="20" t="str">
        <x:v>核心</x:v>
      </x:c>
      <x:c r="P22" s="20" t="str">
        <x:v>https://www.3gmuseum.cn/web/article/1430010139317059584/web/content_1430010139317059584.html</x:v>
      </x:c>
      <x:c r="Q22" s="20" t="str">
        <x:v>护照/英文/展厅</x:v>
      </x:c>
    </x:row>
    <x:row r="23" ht="48" customHeight="1">
      <x:c r="A23" s="20" t="str">
        <x:v>D3-02</x:v>
      </x:c>
      <x:c r="B23" s="20" t="str">
        <x:v>D3</x:v>
      </x:c>
      <x:c r="C23" s="20" t="str">
        <x:v>顺路</x:v>
      </x:c>
      <x:c r="D23" s="20" t="str">
        <x:v>抗战陪都与世界重庆</x:v>
      </x:c>
      <x:c r="E23" s="20" t="str">
        <x:v>11:40</x:v>
      </x:c>
      <x:c r="F23" s="20" t="str">
        <x:v>人民大礼堂外观</x:v>
      </x:c>
      <x:c r="G23" s="30" t="str">
        <x:v>20</x:v>
      </x:c>
      <x:c r="H23" s="30" t="n">
        <x:v>20</x:v>
      </x:c>
      <x:c r="I23" s="20" t="str">
        <x:v>步行</x:v>
      </x:c>
      <x:c r="J23" s="20" t="str">
        <x:v>与博物馆形成公共建筑轴线</x:v>
      </x:c>
      <x:c r="K23" s="20" t="str">
        <x:v>20世纪公共建筑与城市仪式</x:v>
      </x:c>
      <x:c r="L23" s="20" t="str">
        <x:v>低</x:v>
      </x:c>
      <x:c r="M23" s="20" t="str">
        <x:v>活动封控</x:v>
      </x:c>
      <x:c r="N23" s="20" t="str">
        <x:v>雨天短停</x:v>
      </x:c>
      <x:c r="O23" s="20" t="str">
        <x:v>顺路</x:v>
      </x:c>
      <x:c r="P23" s="20" t="str">
        <x:v>https://ghzrzyj.cq.gov.cn/ztlm_186/ghgb/zxgh/202507/P020250716371670706300.pdf</x:v>
      </x:c>
      <x:c r="Q23" s="20" t="str">
        <x:v>站位/活动</x:v>
      </x:c>
    </x:row>
    <x:row r="24" ht="48" customHeight="1">
      <x:c r="A24" s="20" t="str">
        <x:v>D3-03</x:v>
      </x:c>
      <x:c r="B24" s="20" t="str">
        <x:v>D3</x:v>
      </x:c>
      <x:c r="C24" s="20" t="str">
        <x:v>核心</x:v>
      </x:c>
      <x:c r="D24" s="20" t="str">
        <x:v>抗战陪都与世界重庆</x:v>
      </x:c>
      <x:c r="E24" s="20" t="str">
        <x:v>13:00</x:v>
      </x:c>
      <x:c r="F24" s="20" t="str">
        <x:v>中山四路：桂园—周公馆—特园</x:v>
      </x:c>
      <x:c r="G24" s="30" t="str">
        <x:v>120</x:v>
      </x:c>
      <x:c r="H24" s="30" t="n">
        <x:v>30</x:v>
      </x:c>
      <x:c r="I24" s="20" t="str">
        <x:v>步行</x:v>
      </x:c>
      <x:c r="J24" s="20" t="str">
        <x:v>把战时政治、外交和文化放进街区</x:v>
      </x:c>
      <x:c r="K24" s="20" t="str">
        <x:v>重庆谈判、统一战线、国际传播</x:v>
      </x:c>
      <x:c r="L24" s="20" t="str">
        <x:v>中</x:v>
      </x:c>
      <x:c r="M24" s="20" t="str">
        <x:v>开放日不同</x:v>
      </x:c>
      <x:c r="N24" s="20" t="str">
        <x:v>小雨可</x:v>
      </x:c>
      <x:c r="O24" s="20" t="str">
        <x:v>核心</x:v>
      </x:c>
      <x:c r="P24" s="20" t="str">
        <x:v>https://www.cqyz.gov.cn/zjyz/lyyz/rmdkd/202210/t20221005_11164444.html</x:v>
      </x:c>
      <x:c r="Q24" s="20" t="str">
        <x:v>逐馆开放/英文</x:v>
      </x:c>
    </x:row>
    <x:row r="25" ht="48" customHeight="1">
      <x:c r="A25" s="20" t="str">
        <x:v>D3-04</x:v>
      </x:c>
      <x:c r="B25" s="20" t="str">
        <x:v>D3</x:v>
      </x:c>
      <x:c r="C25" s="20" t="str">
        <x:v>核心</x:v>
      </x:c>
      <x:c r="D25" s="20" t="str">
        <x:v>抗战陪都与世界重庆</x:v>
      </x:c>
      <x:c r="E25" s="20" t="str">
        <x:v>15:40</x:v>
      </x:c>
      <x:c r="F25" s="20" t="str">
        <x:v>重庆史迪威博物馆</x:v>
      </x:c>
      <x:c r="G25" s="30" t="str">
        <x:v>75</x:v>
      </x:c>
      <x:c r="H25" s="30" t="n">
        <x:v>20</x:v>
      </x:c>
      <x:c r="I25" s="20" t="str">
        <x:v>短程车/步行</x:v>
      </x:c>
      <x:c r="J25" s="20" t="str">
        <x:v>给国际游客一个二战连接点</x:v>
      </x:c>
      <x:c r="K25" s="20" t="str">
        <x:v>中国战区、飞虎队、滇缅公路</x:v>
      </x:c>
      <x:c r="L25" s="20" t="str">
        <x:v>低</x:v>
      </x:c>
      <x:c r="M25" s="20" t="str">
        <x:v>英文导览</x:v>
      </x:c>
      <x:c r="N25" s="20" t="str">
        <x:v>雨天核心</x:v>
      </x:c>
      <x:c r="O25" s="20" t="str">
        <x:v>核心</x:v>
      </x:c>
      <x:c r="P25" s="20" t="str">
        <x:v>https://www.cq.gov.cn/zwgk/zfxxgkml/zdlyxxgk/ggwh/wh/zxdt/202605/t20260518_15684252.html</x:v>
      </x:c>
      <x:c r="Q25" s="20" t="str">
        <x:v>预约/讲解/拍摄</x:v>
      </x:c>
    </x:row>
    <x:row r="26" ht="48" customHeight="1">
      <x:c r="A26" s="20" t="str">
        <x:v>D3-05</x:v>
      </x:c>
      <x:c r="B26" s="20" t="str">
        <x:v>D3</x:v>
      </x:c>
      <x:c r="C26" s="20" t="str">
        <x:v>核心</x:v>
      </x:c>
      <x:c r="D26" s="20" t="str">
        <x:v>抗战陪都与世界重庆</x:v>
      </x:c>
      <x:c r="E26" s="20" t="str">
        <x:v>17:20</x:v>
      </x:c>
      <x:c r="F26" s="20" t="str">
        <x:v>2号线乘坐体验</x:v>
      </x:c>
      <x:c r="G26" s="30" t="str">
        <x:v>35</x:v>
      </x:c>
      <x:c r="H26" s="30" t="n">
        <x:v>10</x:v>
      </x:c>
      <x:c r="I26" s="20" t="str">
        <x:v>轨道</x:v>
      </x:c>
      <x:c r="J26" s="20" t="str">
        <x:v>让单轨回到公共交通语境</x:v>
      </x:c>
      <x:c r="K26" s="20" t="str">
        <x:v>曲线、坡度、沿江与穿楼</x:v>
      </x:c>
      <x:c r="L26" s="20" t="str">
        <x:v>低</x:v>
      </x:c>
      <x:c r="M26" s="20" t="str">
        <x:v>高峰拥挤</x:v>
      </x:c>
      <x:c r="N26" s="20" t="str">
        <x:v>雨天核心</x:v>
      </x:c>
      <x:c r="O26" s="20" t="str">
        <x:v>核心</x:v>
      </x:c>
      <x:c r="P26" s="20" t="str">
        <x:v>https://www.cq.gov.cn/ywdt/jrcq/202605/t20260528_15709853.html</x:v>
      </x:c>
      <x:c r="Q26" s="20" t="str">
        <x:v>方向/车厢</x:v>
      </x:c>
    </x:row>
    <x:row r="27" ht="48" customHeight="1">
      <x:c r="A27" s="20" t="str">
        <x:v>D3-06</x:v>
      </x:c>
      <x:c r="B27" s="20" t="str">
        <x:v>D3</x:v>
      </x:c>
      <x:c r="C27" s="20" t="str">
        <x:v>条件</x:v>
      </x:c>
      <x:c r="D27" s="20" t="str">
        <x:v>抗战陪都与世界重庆</x:v>
      </x:c>
      <x:c r="E27" s="20" t="str">
        <x:v>18:00</x:v>
      </x:c>
      <x:c r="F27" s="20" t="str">
        <x:v>李子坝观景台短停</x:v>
      </x:c>
      <x:c r="G27" s="30" t="str">
        <x:v>25</x:v>
      </x:c>
      <x:c r="H27" s="30" t="n">
        <x:v>20</x:v>
      </x:c>
      <x:c r="I27" s="20" t="str">
        <x:v>步行</x:v>
      </x:c>
      <x:c r="J27" s="20" t="str">
        <x:v>只补外部观察，不排长队</x:v>
      </x:c>
      <x:c r="K27" s="20" t="str">
        <x:v>住宅、站体与垂直通道</x:v>
      </x:c>
      <x:c r="L27" s="20" t="str">
        <x:v>低</x:v>
      </x:c>
      <x:c r="M27" s="20" t="str">
        <x:v>施工动线</x:v>
      </x:c>
      <x:c r="N27" s="20" t="str">
        <x:v>可跳过</x:v>
      </x:c>
      <x:c r="O27" s="20" t="str">
        <x:v>条件</x:v>
      </x:c>
      <x:c r="P27" s="20" t="str">
        <x:v>https://www.cq.gov.cn/ywdt/jrcq/202606/t20260613_15751500.html</x:v>
      </x:c>
      <x:c r="Q27" s="20" t="str">
        <x:v>每月施工复核</x:v>
      </x:c>
    </x:row>
    <x:row r="28" ht="48" customHeight="1">
      <x:c r="A28" s="20" t="str">
        <x:v>D3-07</x:v>
      </x:c>
      <x:c r="B28" s="20" t="str">
        <x:v>D3</x:v>
      </x:c>
      <x:c r="C28" s="20" t="str">
        <x:v>核心</x:v>
      </x:c>
      <x:c r="D28" s="20" t="str">
        <x:v>抗战陪都与世界重庆</x:v>
      </x:c>
      <x:c r="E28" s="20" t="str">
        <x:v>18:50</x:v>
      </x:c>
      <x:c r="F28" s="20" t="str">
        <x:v>鹅岭公园复盘城市</x:v>
      </x:c>
      <x:c r="G28" s="30" t="str">
        <x:v>75</x:v>
      </x:c>
      <x:c r="H28" s="30" t="n">
        <x:v>0</x:v>
      </x:c>
      <x:c r="I28" s="20" t="str">
        <x:v>轨道/步行</x:v>
      </x:c>
      <x:c r="J28" s="20" t="str">
        <x:v>从高点复盘三天的空间关系</x:v>
      </x:c>
      <x:c r="K28" s="20" t="str">
        <x:v>山脊、两江、半岛与交通走廊</x:v>
      </x:c>
      <x:c r="L28" s="20" t="str">
        <x:v>中</x:v>
      </x:c>
      <x:c r="M28" s="20" t="str">
        <x:v>能见度</x:v>
      </x:c>
      <x:c r="N28" s="20" t="str">
        <x:v>大雨删除</x:v>
      </x:c>
      <x:c r="O28" s="20" t="str">
        <x:v>核心</x:v>
      </x:c>
      <x:c r="P28" s="20" t="str">
        <x:v>https://ghzrzyj.cq.gov.cn/ztlm_186/ghgb/zxgh/202507/P020250716371670706300.pdf</x:v>
      </x:c>
      <x:c r="Q28" s="20" t="str">
        <x:v>塔楼/日落/返程</x:v>
      </x:c>
    </x:row>
    <x:row r="29" ht="48" customHeight="1">
      <x:c r="A29" s="20" t="str">
        <x:v>D4A-01</x:v>
      </x:c>
      <x:c r="B29" s="20" t="str">
        <x:v>D4A</x:v>
      </x:c>
      <x:c r="C29" s="20" t="str">
        <x:v>核心</x:v>
      </x:c>
      <x:c r="D29" s="20" t="str">
        <x:v>开埠史与南岸山路</x:v>
      </x:c>
      <x:c r="E29" s="20" t="str">
        <x:v>09:00</x:v>
      </x:c>
      <x:c r="F29" s="20" t="str">
        <x:v>重庆开埠遗址公园</x:v>
      </x:c>
      <x:c r="G29" s="30" t="str">
        <x:v>90</x:v>
      </x:c>
      <x:c r="H29" s="30" t="n">
        <x:v>20</x:v>
      </x:c>
      <x:c r="I29" s="20" t="str">
        <x:v>轨道+步行</x:v>
      </x:c>
      <x:c r="J29" s="20" t="str">
        <x:v>从具体建筑讲1891年开埠</x:v>
      </x:c>
      <x:c r="K29" s="20" t="str">
        <x:v>洋行、航运、领馆与不平等开放</x:v>
      </x:c>
      <x:c r="L29" s="20" t="str">
        <x:v>中</x:v>
      </x:c>
      <x:c r="M29" s="20" t="str">
        <x:v>英文展陈</x:v>
      </x:c>
      <x:c r="N29" s="20" t="str">
        <x:v>雨天部分可</x:v>
      </x:c>
      <x:c r="O29" s="20" t="str">
        <x:v>核心</x:v>
      </x:c>
      <x:c r="P29" s="20" t="str">
        <x:v>https://www.cq.gov.cn/ywdt/jrcq/202605/t20260506_15650945.html</x:v>
      </x:c>
      <x:c r="Q29" s="20" t="str">
        <x:v>开放建筑/英文</x:v>
      </x:c>
    </x:row>
    <x:row r="30" ht="48" customHeight="1">
      <x:c r="A30" s="20" t="str">
        <x:v>D4A-02</x:v>
      </x:c>
      <x:c r="B30" s="20" t="str">
        <x:v>D4A</x:v>
      </x:c>
      <x:c r="C30" s="20" t="str">
        <x:v>核心</x:v>
      </x:c>
      <x:c r="D30" s="20" t="str">
        <x:v>开埠史与南岸山路</x:v>
      </x:c>
      <x:c r="E30" s="20" t="str">
        <x:v>10:50</x:v>
      </x:c>
      <x:c r="F30" s="20" t="str">
        <x:v>黄葛古道上行</x:v>
      </x:c>
      <x:c r="G30" s="30" t="str">
        <x:v>150</x:v>
      </x:c>
      <x:c r="H30" s="30" t="n">
        <x:v>20</x:v>
      </x:c>
      <x:c r="I30" s="20" t="str">
        <x:v>步行</x:v>
      </x:c>
      <x:c r="J30" s="20" t="str">
        <x:v>用旧交通路径理解山与江</x:v>
      </x:c>
      <x:c r="K30" s="20" t="str">
        <x:v>运输、聚落、树荫和坡度</x:v>
      </x:c>
      <x:c r="L30" s="20" t="str">
        <x:v>高</x:v>
      </x:c>
      <x:c r="M30" s="20" t="str">
        <x:v>补给/导航</x:v>
      </x:c>
      <x:c r="N30" s="20" t="str">
        <x:v>低体力删除</x:v>
      </x:c>
      <x:c r="O30" s="20" t="str">
        <x:v>核心</x:v>
      </x:c>
      <x:c r="P30" s="20" t="str">
        <x:v>https://www.shplanning.com.cn/archive/download/id/487.html</x:v>
      </x:c>
      <x:c r="Q30" s="20" t="str">
        <x:v>完整实走</x:v>
      </x:c>
    </x:row>
    <x:row r="31" ht="48" customHeight="1">
      <x:c r="A31" s="20" t="str">
        <x:v>D4A-03</x:v>
      </x:c>
      <x:c r="B31" s="20" t="str">
        <x:v>D4A</x:v>
      </x:c>
      <x:c r="C31" s="20" t="str">
        <x:v>休息</x:v>
      </x:c>
      <x:c r="D31" s="20" t="str">
        <x:v>开埠史与南岸山路</x:v>
      </x:c>
      <x:c r="E31" s="20" t="str">
        <x:v>13:40</x:v>
      </x:c>
      <x:c r="F31" s="20" t="str">
        <x:v>黄桷垭午餐与老街短段</x:v>
      </x:c>
      <x:c r="G31" s="30" t="str">
        <x:v>75</x:v>
      </x:c>
      <x:c r="H31" s="30" t="n">
        <x:v>25</x:v>
      </x:c>
      <x:c r="I31" s="20" t="str">
        <x:v>步行</x:v>
      </x:c>
      <x:c r="J31" s="20" t="str">
        <x:v>作为古道恢复节点</x:v>
      </x:c>
      <x:c r="K31" s="20" t="str">
        <x:v>山口聚落与补给功能</x:v>
      </x:c>
      <x:c r="L31" s="20" t="str">
        <x:v>低</x:v>
      </x:c>
      <x:c r="M31" s="20" t="str">
        <x:v>英语</x:v>
      </x:c>
      <x:c r="N31" s="20" t="str">
        <x:v>雨天可</x:v>
      </x:c>
      <x:c r="O31" s="20" t="str">
        <x:v>条件</x:v>
      </x:c>
      <x:c r="P31" s="20" t="str">
        <x:v>https://ghzrzyj.cq.gov.cn/bsfw_186/dtfw/mzyt/202511/t20251124_15184222_wap.html</x:v>
      </x:c>
      <x:c r="Q31" s="20" t="str">
        <x:v>餐饮/返程</x:v>
      </x:c>
    </x:row>
    <x:row r="32" ht="48" customHeight="1">
      <x:c r="A32" s="20" t="str">
        <x:v>D4A-04</x:v>
      </x:c>
      <x:c r="B32" s="20" t="str">
        <x:v>D4A</x:v>
      </x:c>
      <x:c r="C32" s="20" t="str">
        <x:v>核心</x:v>
      </x:c>
      <x:c r="D32" s="20" t="str">
        <x:v>开埠史与南岸山路</x:v>
      </x:c>
      <x:c r="E32" s="20" t="str">
        <x:v>15:30</x:v>
      </x:c>
      <x:c r="F32" s="20" t="str">
        <x:v>下行或短程车至龙门浩—下浩里</x:v>
      </x:c>
      <x:c r="G32" s="30" t="str">
        <x:v>120</x:v>
      </x:c>
      <x:c r="H32" s="30" t="n">
        <x:v>20</x:v>
      </x:c>
      <x:c r="I32" s="20" t="str">
        <x:v>步行/车</x:v>
      </x:c>
      <x:c r="J32" s="20" t="str">
        <x:v>在江岸收束开埠与更新</x:v>
      </x:c>
      <x:c r="K32" s="20" t="str">
        <x:v>历史环境、修复和新商业</x:v>
      </x:c>
      <x:c r="L32" s="20" t="str">
        <x:v>高</x:v>
      </x:c>
      <x:c r="M32" s="20" t="str">
        <x:v>台阶/入口</x:v>
      </x:c>
      <x:c r="N32" s="20" t="str">
        <x:v>低体力走上层</x:v>
      </x:c>
      <x:c r="O32" s="20" t="str">
        <x:v>核心</x:v>
      </x:c>
      <x:c r="P32" s="20" t="str">
        <x:v>https://www.cq.gov.cn/ywdt/zwhd/bmdt/202511/t20251113_15160016.html</x:v>
      </x:c>
      <x:c r="Q32" s="20" t="str">
        <x:v>低体力入口/夜归</x:v>
      </x:c>
    </x:row>
    <x:row r="33" ht="48" customHeight="1">
      <x:c r="A33" s="20" t="str">
        <x:v>D4A-05</x:v>
      </x:c>
      <x:c r="B33" s="20" t="str">
        <x:v>D4A</x:v>
      </x:c>
      <x:c r="C33" s="20" t="str">
        <x:v>结束</x:v>
      </x:c>
      <x:c r="D33" s="20" t="str">
        <x:v>开埠史与南岸山路</x:v>
      </x:c>
      <x:c r="E33" s="20" t="str">
        <x:v>18:00</x:v>
      </x:c>
      <x:c r="F33" s="20" t="str">
        <x:v>南岸晚餐后返程</x:v>
      </x:c>
      <x:c r="G33" s="30" t="str">
        <x:v>90</x:v>
      </x:c>
      <x:c r="H33" s="30" t="n">
        <x:v>0</x:v>
      </x:c>
      <x:c r="I33" s="20" t="str">
        <x:v>步行+轨道</x:v>
      </x:c>
      <x:c r="J33" s="20" t="str">
        <x:v>不再叠加其他夜景</x:v>
      </x:c>
      <x:c r="K33" s="20" t="str">
        <x:v>恢复与夜归交通</x:v>
      </x:c>
      <x:c r="L33" s="20" t="str">
        <x:v>低</x:v>
      </x:c>
      <x:c r="M33" s="20" t="str">
        <x:v>打车/末班车</x:v>
      </x:c>
      <x:c r="N33" s="20" t="str">
        <x:v>室内</x:v>
      </x:c>
      <x:c r="O33" s="20" t="str">
        <x:v>核心</x:v>
      </x:c>
      <x:c r="P33" s="20" t="str">
        <x:v>https://www.reddit.com/r/travelchina/comments/1v4olqp/thoughts_on_my_chongqing_itinerary/</x:v>
      </x:c>
      <x:c r="Q33" s="20" t="str">
        <x:v>返程缓冲</x:v>
      </x:c>
    </x:row>
    <x:row r="34" ht="48" customHeight="1">
      <x:c r="A34" s="20" t="str">
        <x:v>D4B-01</x:v>
      </x:c>
      <x:c r="B34" s="20" t="str">
        <x:v>D4B</x:v>
      </x:c>
      <x:c r="C34" s="20" t="str">
        <x:v>核心</x:v>
      </x:c>
      <x:c r="D34" s="20" t="str">
        <x:v>工业、艺术与日常</x:v>
      </x:c>
      <x:c r="E34" s="20" t="str">
        <x:v>09:00</x:v>
      </x:c>
      <x:c r="F34" s="20" t="str">
        <x:v>2号线沿江乘车至九龙坡</x:v>
      </x:c>
      <x:c r="G34" s="30" t="str">
        <x:v>45</x:v>
      </x:c>
      <x:c r="H34" s="30" t="n">
        <x:v>20</x:v>
      </x:c>
      <x:c r="I34" s="20" t="str">
        <x:v>轨道</x:v>
      </x:c>
      <x:c r="J34" s="20" t="str">
        <x:v>继续把交通当城市内容</x:v>
      </x:c>
      <x:c r="K34" s="20" t="str">
        <x:v>工业岸线、住宅与轨道关系</x:v>
      </x:c>
      <x:c r="L34" s="20" t="str">
        <x:v>低</x:v>
      </x:c>
      <x:c r="M34" s="20" t="str">
        <x:v>站点选择</x:v>
      </x:c>
      <x:c r="N34" s="20" t="str">
        <x:v>雨天核心</x:v>
      </x:c>
      <x:c r="O34" s="20" t="str">
        <x:v>核心</x:v>
      </x:c>
      <x:c r="P34" s="20" t="str">
        <x:v>https://www.cq.gov.cn/ywdt/jrcq/202605/t20260528_15709853.html</x:v>
      </x:c>
      <x:c r="Q34" s="20" t="str">
        <x:v>方向/观察点</x:v>
      </x:c>
    </x:row>
    <x:row r="35" ht="48" customHeight="1">
      <x:c r="A35" s="20" t="str">
        <x:v>D4B-02</x:v>
      </x:c>
      <x:c r="B35" s="20" t="str">
        <x:v>D4B</x:v>
      </x:c>
      <x:c r="C35" s="20" t="str">
        <x:v>条件</x:v>
      </x:c>
      <x:c r="D35" s="20" t="str">
        <x:v>工业、艺术与日常</x:v>
      </x:c>
      <x:c r="E35" s="20" t="str">
        <x:v>10:15</x:v>
      </x:c>
      <x:c r="F35" s="20" t="str">
        <x:v>交通茶馆</x:v>
      </x:c>
      <x:c r="G35" s="30" t="str">
        <x:v>45</x:v>
      </x:c>
      <x:c r="H35" s="30" t="n">
        <x:v>10</x:v>
      </x:c>
      <x:c r="I35" s="20" t="str">
        <x:v>短程车/步行</x:v>
      </x:c>
      <x:c r="J35" s="20" t="str">
        <x:v>观察真实社交空间及旅游化</x:v>
      </x:c>
      <x:c r="K35" s="20" t="str">
        <x:v>茶馆规则、熟客与拍摄伦理</x:v>
      </x:c>
      <x:c r="L35" s="20" t="str">
        <x:v>低</x:v>
      </x:c>
      <x:c r="M35" s="20" t="str">
        <x:v>英语/拍摄</x:v>
      </x:c>
      <x:c r="N35" s="20" t="str">
        <x:v>雨天核心</x:v>
      </x:c>
      <x:c r="O35" s="20" t="str">
        <x:v>条件</x:v>
      </x:c>
      <x:c r="P35" s="20" t="str">
        <x:v>https://mzj.cq.gov.cn/sy_218/bmdt/mzyw/t_14233171.html</x:v>
      </x:c>
      <x:c r="Q35" s="20" t="str">
        <x:v>店方规则/团队人数</x:v>
      </x:c>
    </x:row>
    <x:row r="36" ht="48" customHeight="1">
      <x:c r="A36" s="20" t="str">
        <x:v>D4B-03</x:v>
      </x:c>
      <x:c r="B36" s="20" t="str">
        <x:v>D4B</x:v>
      </x:c>
      <x:c r="C36" s="20" t="str">
        <x:v>核心</x:v>
      </x:c>
      <x:c r="D36" s="20" t="str">
        <x:v>工业、艺术与日常</x:v>
      </x:c>
      <x:c r="E36" s="20" t="str">
        <x:v>11:15</x:v>
      </x:c>
      <x:c r="F36" s="20" t="str">
        <x:v>黄桷坪涂鸦街—川美周边</x:v>
      </x:c>
      <x:c r="G36" s="30" t="str">
        <x:v>90</x:v>
      </x:c>
      <x:c r="H36" s="30" t="n">
        <x:v>20</x:v>
      </x:c>
      <x:c r="I36" s="20" t="str">
        <x:v>步行</x:v>
      </x:c>
      <x:c r="J36" s="20" t="str">
        <x:v>把学院、社区与公共艺术串联</x:v>
      </x:c>
      <x:c r="K36" s="20" t="str">
        <x:v>墙面不等于艺术；看更新过程</x:v>
      </x:c>
      <x:c r="L36" s="20" t="str">
        <x:v>中</x:v>
      </x:c>
      <x:c r="M36" s="20" t="str">
        <x:v>校园边界</x:v>
      </x:c>
      <x:c r="N36" s="20" t="str">
        <x:v>小雨可</x:v>
      </x:c>
      <x:c r="O36" s="20" t="str">
        <x:v>核心</x:v>
      </x:c>
      <x:c r="P36" s="20" t="str">
        <x:v>https://mzj.cq.gov.cn/sy_218/bmdt/mzyw/t_14233171.html</x:v>
      </x:c>
      <x:c r="Q36" s="20" t="str">
        <x:v>展览/校园/墙面</x:v>
      </x:c>
    </x:row>
    <x:row r="37" ht="48" customHeight="1">
      <x:c r="A37" s="20" t="str">
        <x:v>D4B-04</x:v>
      </x:c>
      <x:c r="B37" s="20" t="str">
        <x:v>D4B</x:v>
      </x:c>
      <x:c r="C37" s="20" t="str">
        <x:v>休息</x:v>
      </x:c>
      <x:c r="D37" s="20" t="str">
        <x:v>工业、艺术与日常</x:v>
      </x:c>
      <x:c r="E37" s="20" t="str">
        <x:v>13:00</x:v>
      </x:c>
      <x:c r="F37" s="20" t="str">
        <x:v>九龙坡午餐</x:v>
      </x:c>
      <x:c r="G37" s="30" t="str">
        <x:v>70</x:v>
      </x:c>
      <x:c r="H37" s="30" t="n">
        <x:v>30</x:v>
      </x:c>
      <x:c r="I37" s="20" t="str">
        <x:v>步行/车</x:v>
      </x:c>
      <x:c r="J37" s="20" t="str">
        <x:v>恢复并转入工业史</x:v>
      </x:c>
      <x:c r="K37" s="20" t="str">
        <x:v>非辣与素食替代</x:v>
      </x:c>
      <x:c r="L37" s="20" t="str">
        <x:v>低</x:v>
      </x:c>
      <x:c r="M37" s="20" t="str">
        <x:v>点菜</x:v>
      </x:c>
      <x:c r="N37" s="20" t="str">
        <x:v>室内</x:v>
      </x:c>
      <x:c r="O37" s="20" t="str">
        <x:v>核心</x:v>
      </x:c>
      <x:c r="P37" s="20" t="str">
        <x:v>https://whlyw.cq.gov.cn/zjwl/szq/zqms/202411/t20241111_13787035.html</x:v>
      </x:c>
      <x:c r="Q37" s="20" t="str">
        <x:v>候选店</x:v>
      </x:c>
    </x:row>
    <x:row r="38" ht="48" customHeight="1">
      <x:c r="A38" s="20" t="str">
        <x:v>D4B-05</x:v>
      </x:c>
      <x:c r="B38" s="20" t="str">
        <x:v>D4B</x:v>
      </x:c>
      <x:c r="C38" s="20" t="str">
        <x:v>核心</x:v>
      </x:c>
      <x:c r="D38" s="20" t="str">
        <x:v>工业、艺术与日常</x:v>
      </x:c>
      <x:c r="E38" s="20" t="str">
        <x:v>14:40</x:v>
      </x:c>
      <x:c r="F38" s="20" t="str">
        <x:v>重庆建川博物馆聚落</x:v>
      </x:c>
      <x:c r="G38" s="30" t="str">
        <x:v>150</x:v>
      </x:c>
      <x:c r="H38" s="30" t="n">
        <x:v>30</x:v>
      </x:c>
      <x:c r="I38" s="20" t="str">
        <x:v>短程车</x:v>
      </x:c>
      <x:c r="J38" s="20" t="str">
        <x:v>用防空洞和工业遗存收束历史</x:v>
      </x:c>
      <x:c r="K38" s="20" t="str">
        <x:v>兵工、内迁、防空与工业城市</x:v>
      </x:c>
      <x:c r="L38" s="20" t="str">
        <x:v>中</x:v>
      </x:c>
      <x:c r="M38" s="20" t="str">
        <x:v>票务/英文</x:v>
      </x:c>
      <x:c r="N38" s="20" t="str">
        <x:v>雨天核心</x:v>
      </x:c>
      <x:c r="O38" s="20" t="str">
        <x:v>核心</x:v>
      </x:c>
      <x:c r="P38" s="20" t="str">
        <x:v>https://whlyw.cq.gov.cn/hdjl_221/xzzq/202601/t20260115_15320860.html</x:v>
      </x:c>
      <x:c r="Q38" s="20" t="str">
        <x:v>全程/英文/儿童</x:v>
      </x:c>
    </x:row>
    <x:row r="39" ht="48" customHeight="1">
      <x:c r="A39" s="21" t="str">
        <x:v>D4B-06</x:v>
      </x:c>
      <x:c r="B39" s="21" t="str">
        <x:v>D4B</x:v>
      </x:c>
      <x:c r="C39" s="21" t="str">
        <x:v>结束</x:v>
      </x:c>
      <x:c r="D39" s="21" t="str">
        <x:v>工业、艺术与日常</x:v>
      </x:c>
      <x:c r="E39" s="21" t="str">
        <x:v>18:00</x:v>
      </x:c>
      <x:c r="F39" s="21" t="str">
        <x:v>2号线返城/自由晚餐</x:v>
      </x:c>
      <x:c r="G39" s="31" t="str">
        <x:v>60</x:v>
      </x:c>
      <x:c r="H39" s="31" t="n">
        <x:v>0</x:v>
      </x:c>
      <x:c r="I39" s="21" t="str">
        <x:v>轨道</x:v>
      </x:c>
      <x:c r="J39" s="21" t="str">
        <x:v>留出恢复，不再堆点</x:v>
      </x:c>
      <x:c r="K39" s="21" t="str">
        <x:v>从游客视角回到城市日常</x:v>
      </x:c>
      <x:c r="L39" s="21" t="str">
        <x:v>低</x:v>
      </x:c>
      <x:c r="M39" s="21" t="str">
        <x:v>晚高峰</x:v>
      </x:c>
      <x:c r="N39" s="21" t="str">
        <x:v>雨天保留</x:v>
      </x:c>
      <x:c r="O39" s="21" t="str">
        <x:v>核心</x:v>
      </x:c>
      <x:c r="P39" s="21" t="str">
        <x:v>https://www.reddit.com/r/travelchina/comments/1v4olqp/thoughts_on_my_chongqing_itinerary/</x:v>
      </x:c>
      <x:c r="Q39" s="21" t="str">
        <x:v>高峰时间</x:v>
      </x:c>
    </x:row>
  </x:sheetData>
  <x:mergeCells>
    <x:mergeCell ref="A1:Q1"/>
    <x:mergeCell ref="A2:Q2"/>
  </x:mergeCells>
  <x:conditionalFormatting sqref="O6:O39">
    <x:cfRule type="containsText" dxfId="5" priority="1" operator="containsText" text="核心"/>
    <x:cfRule type="containsText" dxfId="6" priority="2" operator="containsText" text="条件"/>
    <x:cfRule type="containsText" dxfId="7" priority="3" operator="containsText" text="降级"/>
  </x:conditionalFormatting>
  <x:conditionalFormatting sqref="L6:L39">
    <x:cfRule type="containsText" dxfId="8" priority="4" operator="containsText" text="高"/>
  </x:conditionalFormatting>
  <x:dataValidations count="1">
    <x:dataValidation type="list" sqref="L6:L39">
      <x:formula1>"低,中,高"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8053a0656140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10" hidden="0" customWidth="1"/>
    <x:col min="4" max="4" width="18" hidden="0" customWidth="1"/>
    <x:col min="5" max="5" width="16" hidden="0" customWidth="1"/>
    <x:col min="6" max="6" width="14" hidden="0" customWidth="1"/>
    <x:col min="7" max="7" width="20" hidden="0" customWidth="1"/>
    <x:col min="8" max="8" width="22" hidden="0" customWidth="1"/>
    <x:col min="9" max="9" width="9" hidden="0" customWidth="1"/>
    <x:col min="10" max="10" width="9" hidden="0" customWidth="1"/>
    <x:col min="11" max="11" width="9" hidden="0" customWidth="1"/>
    <x:col min="12" max="12" width="11" hidden="0" customWidth="1"/>
    <x:col min="13" max="13" width="9" hidden="0" customWidth="1"/>
    <x:col min="14" max="14" width="10" hidden="0" customWidth="1"/>
    <x:col min="15" max="15" width="10" hidden="0" customWidth="1"/>
    <x:col min="16" max="16" width="10" hidden="0" customWidth="1"/>
    <x:col min="17" max="17" width="8" hidden="0" customWidth="1"/>
    <x:col min="18" max="18" width="10" hidden="0" customWidth="1"/>
    <x:col min="19" max="19" width="10" hidden="0" customWidth="1"/>
    <x:col min="20" max="20" width="8" hidden="0" customWidth="1"/>
    <x:col min="21" max="21" width="12" hidden="0" customWidth="1"/>
    <x:col min="22" max="22" width="18" hidden="0" customWidth="1"/>
    <x:col min="23" max="23" width="24" hidden="0" customWidth="1"/>
    <x:col min="24" max="24" width="28" hidden="0" customWidth="1"/>
    <x:col min="25" max="25" width="24" hidden="0" customWidth="1"/>
    <x:col min="26" max="26" width="28" hidden="0" customWidth="1"/>
    <x:col min="27" max="27" width="36" hidden="0" customWidth="1"/>
    <x:col min="28" max="28" width="34" hidden="0" customWidth="1"/>
    <x:col min="29" max="29" width="38" hidden="0" customWidth="1"/>
    <x:col min="30" max="30" width="38" hidden="0" customWidth="1"/>
    <x:col min="31" max="31" width="12" hidden="0" customWidth="1"/>
    <x:col min="32" max="32" width="30" hidden="0" customWidth="1"/>
  </x:cols>
  <x:sheetData>
    <x:row r="1" ht="32" customHeight="1">
      <x:c r="A1" s="3" t="str">
        <x:v>重庆主城点位与体验数据库｜V0.2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28" customHeight="1">
      <x:c r="A2" s="7" t="str">
        <x:v>仅含主城。网络研究版：现场核验列全部为0；产品分衡量是否值得进入付费路书，证据分衡量当前能否对外承诺。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</x:row>
    <x:row r="5" ht="34" customHeight="1">
      <x:c r="A5" s="11" t="str">
        <x:v>ID</x:v>
      </x:c>
      <x:c r="B5" s="11" t="str">
        <x:v>地点/体验</x:v>
      </x:c>
      <x:c r="C5" s="11" t="str">
        <x:v>区域</x:v>
      </x:c>
      <x:c r="D5" s="11" t="str">
        <x:v>模块</x:v>
      </x:c>
      <x:c r="E5" s="11" t="str">
        <x:v>类型</x:v>
      </x:c>
      <x:c r="F5" s="11" t="str">
        <x:v>推荐等级</x:v>
      </x:c>
      <x:c r="G5" s="11" t="str">
        <x:v>产品角色</x:v>
      </x:c>
      <x:c r="H5" s="11" t="str">
        <x:v>适合客群</x:v>
      </x:c>
      <x:c r="I5" s="11" t="str">
        <x:v>独特性</x:v>
      </x:c>
      <x:c r="J5" s="11" t="str">
        <x:v>叙事密度</x:v>
      </x:c>
      <x:c r="K5" s="11" t="str">
        <x:v>路线适配</x:v>
      </x:c>
      <x:c r="L5" s="11" t="str">
        <x:v>外国人可用</x:v>
      </x:c>
      <x:c r="M5" s="11" t="str">
        <x:v>低摩擦</x:v>
      </x:c>
      <x:c r="N5" s="11" t="str">
        <x:v>产品分</x:v>
      </x:c>
      <x:c r="O5" s="11" t="str">
        <x:v>来源权威</x:v>
      </x:c>
      <x:c r="P5" s="11" t="str">
        <x:v>交叉验证</x:v>
      </x:c>
      <x:c r="Q5" s="11" t="str">
        <x:v>时效</x:v>
      </x:c>
      <x:c r="R5" s="11" t="str">
        <x:v>现场核验</x:v>
      </x:c>
      <x:c r="S5" s="11" t="str">
        <x:v>证据分</x:v>
      </x:c>
      <x:c r="T5" s="11" t="str">
        <x:v>等级</x:v>
      </x:c>
      <x:c r="U5" s="11" t="str">
        <x:v>建议停留(分钟)</x:v>
      </x:c>
      <x:c r="V5" s="11" t="str">
        <x:v>最佳时段</x:v>
      </x:c>
      <x:c r="W5" s="11" t="str">
        <x:v>进入方式</x:v>
      </x:c>
      <x:c r="X5" s="11" t="str">
        <x:v>外国人摩擦</x:v>
      </x:c>
      <x:c r="Y5" s="11" t="str">
        <x:v>雨天/低体力</x:v>
      </x:c>
      <x:c r="Z5" s="11" t="str">
        <x:v>风险/噪音</x:v>
      </x:c>
      <x:c r="AA5" s="11" t="str">
        <x:v>深度叙事角度</x:v>
      </x:c>
      <x:c r="AB5" s="11" t="str">
        <x:v>现场观察任务</x:v>
      </x:c>
      <x:c r="AC5" s="11" t="str">
        <x:v>来源URL1</x:v>
      </x:c>
      <x:c r="AD5" s="11" t="str">
        <x:v>来源URL2</x:v>
      </x:c>
      <x:c r="AE5" s="11" t="str">
        <x:v>最后检查</x:v>
      </x:c>
      <x:c r="AF5" s="11" t="str">
        <x:v>下一步核验</x:v>
      </x:c>
    </x:row>
    <x:row r="6" ht="54" customHeight="1">
      <x:c r="A6" s="19" t="str">
        <x:v>CQ001</x:v>
      </x:c>
      <x:c r="B6" s="19" t="str">
        <x:v>解放碑纪念碑及步行街</x:v>
      </x:c>
      <x:c r="C6" s="19" t="str">
        <x:v>渝中</x:v>
      </x:c>
      <x:c r="D6" s="19" t="str">
        <x:v>D1立体城市</x:v>
      </x:c>
      <x:c r="E6" s="19" t="str">
        <x:v>城市地标</x:v>
      </x:c>
      <x:c r="F6" s="19" t="str">
        <x:v>必去核心</x:v>
      </x:c>
      <x:c r="G6" s="19" t="str">
        <x:v>方向与时间锚点</x:v>
      </x:c>
      <x:c r="H6" s="19" t="str">
        <x:v>首次来渝/城市观察</x:v>
      </x:c>
      <x:c r="I6" s="23" t="n">
        <x:v>4</x:v>
      </x:c>
      <x:c r="J6" s="23" t="n">
        <x:v>4</x:v>
      </x:c>
      <x:c r="K6" s="23" t="n">
        <x:v>5</x:v>
      </x:c>
      <x:c r="L6" s="23" t="n">
        <x:v>5</x:v>
      </x:c>
      <x:c r="M6" s="23" t="n">
        <x:v>4</x:v>
      </x:c>
      <x:c r="N6" s="26" t="n">
        <x:f>ROUND((I6*'筛选标准'!$B$7+J6*'筛选标准'!$B$8+K6*'筛选标准'!$B$9+L6*'筛选标准'!$B$10+M6*'筛选标准'!$B$11)*20,0)</x:f>
        <x:v>88</x:v>
      </x:c>
      <x:c r="O6" s="23" t="n">
        <x:v>5</x:v>
      </x:c>
      <x:c r="P6" s="23" t="n">
        <x:v>4</x:v>
      </x:c>
      <x:c r="Q6" s="23" t="n">
        <x:v>5</x:v>
      </x:c>
      <x:c r="R6" s="23" t="n">
        <x:v>0</x:v>
      </x:c>
      <x:c r="S6" s="26" t="n">
        <x:f>ROUND((O6*'筛选标准'!$B$14+P6*'筛选标准'!$B$15+Q6*'筛选标准'!$B$16+R6*5*'筛选标准'!$B$17)*20,0)</x:f>
        <x:v>80</x:v>
      </x:c>
      <x:c r="T6" s="23" t="str">
        <x:f>IF(S6&gt;=85,"A",IF(S6&gt;=70,"B",IF(S6&gt;=50,"C","D")))</x:f>
        <x:v>B</x:v>
      </x:c>
      <x:c r="U6" s="19" t="n">
        <x:v>30</x:v>
      </x:c>
      <x:c r="V6" s="19" t="str">
        <x:v>09:00前或夜间</x:v>
      </x:c>
      <x:c r="W6" s="19" t="str">
        <x:v>较场口/临江门步行</x:v>
      </x:c>
      <x:c r="X6" s="19" t="str">
        <x:v>商业区英语较好；需解释碑而非只说CBD</x:v>
      </x:c>
      <x:c r="Y6" s="19" t="str">
        <x:v>雨天可保留</x:v>
      </x:c>
      <x:c r="Z6" s="19" t="str">
        <x:v>节假日封控、人流</x:v>
      </x:c>
      <x:c r="AA6" s="19" t="str">
        <x:v>从战争纪念物到商业中心的城市中心迁移</x:v>
      </x:c>
      <x:c r="AB6" s="19" t="str">
        <x:v>辨认碑文、道路放射与人流方向</x:v>
      </x:c>
      <x:c r="AC6" s="19" t="str">
        <x:v>https://www.cq.gov.cn/ywdt/zwhd/qxdt/202009/t20200907_8628081.html</x:v>
      </x:c>
      <x:c r="AD6" s="19" t="str">
        <x:v>https://www.reddit.com/r/travelchina/comments/1qvjkgb/chongqing_25_days_itinerary/</x:v>
      </x:c>
      <x:c r="AE6" s="19" t="str">
        <x:v>2026-07-28</x:v>
      </x:c>
      <x:c r="AF6" s="19" t="str">
        <x:v>核验讲解点和清晨人流</x:v>
      </x:c>
    </x:row>
    <x:row r="7" ht="54" customHeight="1">
      <x:c r="A7" s="20" t="str">
        <x:v>CQ002</x:v>
      </x:c>
      <x:c r="B7" s="20" t="str">
        <x:v>罗汉寺</x:v>
      </x:c>
      <x:c r="C7" s="20" t="str">
        <x:v>渝中</x:v>
      </x:c>
      <x:c r="D7" s="20" t="str">
        <x:v>D1立体城市</x:v>
      </x:c>
      <x:c r="E7" s="20" t="str">
        <x:v>宗教建筑</x:v>
      </x:c>
      <x:c r="F7" s="20" t="str">
        <x:v>深度推荐</x:v>
      </x:c>
      <x:c r="G7" s="20" t="str">
        <x:v>摩天楼夹缝中的宗教空间</x:v>
      </x:c>
      <x:c r="H7" s="20" t="str">
        <x:v>文化/建筑/摄影</x:v>
      </x:c>
      <x:c r="I7" s="24" t="n">
        <x:v>4</x:v>
      </x:c>
      <x:c r="J7" s="24" t="n">
        <x:v>4</x:v>
      </x:c>
      <x:c r="K7" s="24" t="n">
        <x:v>5</x:v>
      </x:c>
      <x:c r="L7" s="24" t="n">
        <x:v>4</x:v>
      </x:c>
      <x:c r="M7" s="24" t="n">
        <x:v>4</x:v>
      </x:c>
      <x:c r="N7" s="27" t="n">
        <x:f>ROUND((I7*'筛选标准'!$B$7+J7*'筛选标准'!$B$8+K7*'筛选标准'!$B$9+L7*'筛选标准'!$B$10+M7*'筛选标准'!$B$11)*20,0)</x:f>
        <x:v>84</x:v>
      </x:c>
      <x:c r="O7" s="24" t="n">
        <x:v>4</x:v>
      </x:c>
      <x:c r="P7" s="24" t="n">
        <x:v>3</x:v>
      </x:c>
      <x:c r="Q7" s="24" t="n">
        <x:v>4</x:v>
      </x:c>
      <x:c r="R7" s="24" t="n">
        <x:v>0</x:v>
      </x:c>
      <x:c r="S7" s="27" t="n">
        <x:f>ROUND((O7*'筛选标准'!$B$14+P7*'筛选标准'!$B$15+Q7*'筛选标准'!$B$16+R7*5*'筛选标准'!$B$17)*20,0)</x:f>
        <x:v>63</x:v>
      </x:c>
      <x:c r="T7" s="24" t="str">
        <x:f>IF(S7&gt;=85,"A",IF(S7&gt;=70,"B",IF(S7&gt;=50,"C","D")))</x:f>
        <x:v>C</x:v>
      </x:c>
      <x:c r="U7" s="20" t="n">
        <x:v>45</x:v>
      </x:c>
      <x:c r="V7" s="20" t="str">
        <x:v>上午</x:v>
      </x:c>
      <x:c r="W7" s="20" t="str">
        <x:v>小什字步行</x:v>
      </x:c>
      <x:c r="X7" s="20" t="str">
        <x:v>英文解释与礼仪提示不足</x:v>
      </x:c>
      <x:c r="Y7" s="20" t="str">
        <x:v>雨天核心</x:v>
      </x:c>
      <x:c r="Z7" s="20" t="str">
        <x:v>宗教礼仪、香火与拍摄边界</x:v>
      </x:c>
      <x:c r="AA7" s="20" t="str">
        <x:v>不要只讲电影取景；讲城市密度与宗教日常</x:v>
      </x:c>
      <x:c r="AB7" s="20" t="str">
        <x:v>观察寺门外商业噪音如何被院落切断</x:v>
      </x:c>
      <x:c r="AC7" s="20" t="str">
        <x:v>https://www.cq.gov.cn/zwgk/zfxxgkml/zdlyxxgk/ggwh/ly/zxdt/202511/t20251107_15146900.html</x:v>
      </x:c>
      <x:c r="AD7" s="20" t="str">
        <x:v>https://www.reddit.com/r/travelchina/comments/1qvjkgb/chongqing_25_days_itinerary/</x:v>
      </x:c>
      <x:c r="AE7" s="20" t="str">
        <x:v>2026-07-28</x:v>
      </x:c>
      <x:c r="AF7" s="20" t="str">
        <x:v>核验开放、票价、英文标识</x:v>
      </x:c>
    </x:row>
    <x:row r="8" ht="54" customHeight="1">
      <x:c r="A8" s="20" t="str">
        <x:v>CQ003</x:v>
      </x:c>
      <x:c r="B8" s="20" t="str">
        <x:v>魁星楼与高差平台</x:v>
      </x:c>
      <x:c r="C8" s="20" t="str">
        <x:v>渝中</x:v>
      </x:c>
      <x:c r="D8" s="20" t="str">
        <x:v>D1立体城市</x:v>
      </x:c>
      <x:c r="E8" s="20" t="str">
        <x:v>垂直空间</x:v>
      </x:c>
      <x:c r="F8" s="20" t="str">
        <x:v>必去核心</x:v>
      </x:c>
      <x:c r="G8" s="20" t="str">
        <x:v>第一处多重地面演示</x:v>
      </x:c>
      <x:c r="H8" s="20" t="str">
        <x:v>首次来渝/建筑/摄影</x:v>
      </x:c>
      <x:c r="I8" s="24" t="n">
        <x:v>5</x:v>
      </x:c>
      <x:c r="J8" s="24" t="n">
        <x:v>4</x:v>
      </x:c>
      <x:c r="K8" s="24" t="n">
        <x:v>5</x:v>
      </x:c>
      <x:c r="L8" s="24" t="n">
        <x:v>4</x:v>
      </x:c>
      <x:c r="M8" s="24" t="n">
        <x:v>3</x:v>
      </x:c>
      <x:c r="N8" s="27" t="n">
        <x:f>ROUND((I8*'筛选标准'!$B$7+J8*'筛选标准'!$B$8+K8*'筛选标准'!$B$9+L8*'筛选标准'!$B$10+M8*'筛选标准'!$B$11)*20,0)</x:f>
        <x:v>87</x:v>
      </x:c>
      <x:c r="O8" s="24" t="n">
        <x:v>4</x:v>
      </x:c>
      <x:c r="P8" s="24" t="n">
        <x:v>4</x:v>
      </x:c>
      <x:c r="Q8" s="24" t="n">
        <x:v>5</x:v>
      </x:c>
      <x:c r="R8" s="24" t="n">
        <x:v>0</x:v>
      </x:c>
      <x:c r="S8" s="27" t="n">
        <x:f>ROUND((O8*'筛选标准'!$B$14+P8*'筛选标准'!$B$15+Q8*'筛选标准'!$B$16+R8*5*'筛选标准'!$B$17)*20,0)</x:f>
        <x:v>72</x:v>
      </x:c>
      <x:c r="T8" s="24" t="str">
        <x:f>IF(S8&gt;=85,"A",IF(S8&gt;=70,"B",IF(S8&gt;=50,"C","D")))</x:f>
        <x:v>B</x:v>
      </x:c>
      <x:c r="U8" s="20" t="n">
        <x:v>30</x:v>
      </x:c>
      <x:c r="V8" s="20" t="str">
        <x:v>上午或蓝调时刻</x:v>
      </x:c>
      <x:c r="W8" s="20" t="str">
        <x:v>临江门步行</x:v>
      </x:c>
      <x:c r="X8" s="20" t="str">
        <x:v>入口层级和地图误差</x:v>
      </x:c>
      <x:c r="Y8" s="20" t="str">
        <x:v>小雨可；大雨防滑</x:v>
      </x:c>
      <x:c r="Z8" s="20" t="str">
        <x:v>商业楼内外边界、拥挤</x:v>
      </x:c>
      <x:c r="AA8" s="20" t="str">
        <x:v>把“22层是广场”解释为多重地面与连接系统</x:v>
      </x:c>
      <x:c r="AB8" s="20" t="str">
        <x:v>让游客先预测自己在几层，再走到桥面校正</x:v>
      </x:c>
      <x:c r="AC8" s="20" t="str">
        <x:v>https://doi.org/10.17645/up.v7i4.5810</x:v>
      </x:c>
      <x:c r="AD8" s="20" t="str">
        <x:v>https://www.reddit.com/r/travelchina/comments/1t4cdvm/help_planning_chongqing/</x:v>
      </x:c>
      <x:c r="AE8" s="20" t="str">
        <x:v>2026-07-28</x:v>
      </x:c>
      <x:c r="AF8" s="20" t="str">
        <x:v>实测不同入口与无障碍路线</x:v>
      </x:c>
    </x:row>
    <x:row r="9" ht="54" customHeight="1">
      <x:c r="A9" s="20" t="str">
        <x:v>CQ004</x:v>
      </x:c>
      <x:c r="B9" s="20" t="str">
        <x:v>朝天门与两江交汇江岸</x:v>
      </x:c>
      <x:c r="C9" s="20" t="str">
        <x:v>渝中</x:v>
      </x:c>
      <x:c r="D9" s="20" t="str">
        <x:v>D1立体城市</x:v>
      </x:c>
      <x:c r="E9" s="20" t="str">
        <x:v>港口/城市景观</x:v>
      </x:c>
      <x:c r="F9" s="20" t="str">
        <x:v>必去核心</x:v>
      </x:c>
      <x:c r="G9" s="20" t="str">
        <x:v>城市门户与两江关系</x:v>
      </x:c>
      <x:c r="H9" s="20" t="str">
        <x:v>首次来渝/城市史</x:v>
      </x:c>
      <x:c r="I9" s="24" t="n">
        <x:v>5</x:v>
      </x:c>
      <x:c r="J9" s="24" t="n">
        <x:v>5</x:v>
      </x:c>
      <x:c r="K9" s="24" t="n">
        <x:v>5</x:v>
      </x:c>
      <x:c r="L9" s="24" t="n">
        <x:v>5</x:v>
      </x:c>
      <x:c r="M9" s="24" t="n">
        <x:v>4</x:v>
      </x:c>
      <x:c r="N9" s="27" t="n">
        <x:f>ROUND((I9*'筛选标准'!$B$7+J9*'筛选标准'!$B$8+K9*'筛选标准'!$B$9+L9*'筛选标准'!$B$10+M9*'筛选标准'!$B$11)*20,0)</x:f>
        <x:v>98</x:v>
      </x:c>
      <x:c r="O9" s="24" t="n">
        <x:v>5</x:v>
      </x:c>
      <x:c r="P9" s="24" t="n">
        <x:v>5</x:v>
      </x:c>
      <x:c r="Q9" s="24" t="n">
        <x:v>4</x:v>
      </x:c>
      <x:c r="R9" s="24" t="n">
        <x:v>0</x:v>
      </x:c>
      <x:c r="S9" s="27" t="n">
        <x:f>ROUND((O9*'筛选标准'!$B$14+P9*'筛选标准'!$B$15+Q9*'筛选标准'!$B$16+R9*5*'筛选标准'!$B$17)*20,0)</x:f>
        <x:v>81</x:v>
      </x:c>
      <x:c r="T9" s="24" t="str">
        <x:f>IF(S9&gt;=85,"A",IF(S9&gt;=70,"B",IF(S9&gt;=50,"C","D")))</x:f>
        <x:v>B</x:v>
      </x:c>
      <x:c r="U9" s="20" t="n">
        <x:v>75</x:v>
      </x:c>
      <x:c r="V9" s="20" t="str">
        <x:v>下午或日落前</x:v>
      </x:c>
      <x:c r="W9" s="20" t="str">
        <x:v>朝天门站/步行</x:v>
      </x:c>
      <x:c r="X9" s="20" t="str">
        <x:v>地下出口复杂；外部江岸入口易错</x:v>
      </x:c>
      <x:c r="Y9" s="20" t="str">
        <x:v>暴雨转来福士室内观察</x:v>
      </x:c>
      <x:c r="Z9" s="20" t="str">
        <x:v>江岸施工、活动管制、暴晒</x:v>
      </x:c>
      <x:c r="AA9" s="20" t="str">
        <x:v>朝天门不是购物中心；它是城门、码头与通江达海的门户</x:v>
      </x:c>
      <x:c r="AB9" s="20" t="str">
        <x:v>找长江与嘉陵江水色、流向和半岛尖端</x:v>
      </x:c>
      <x:c r="AC9" s="20" t="str">
        <x:v>https://www.cq.gov.cn/zwgk/zfxxgkml/zdlyxxgk/ggwh/ly/zxdt/202511/t20251107_15146900.html</x:v>
      </x:c>
      <x:c r="AD9" s="20" t="str">
        <x:v>https://www.cq.gov.cn/ywdt/zwhd/qxdt/202009/t20200907_8628081.html</x:v>
      </x:c>
      <x:c r="AE9" s="20" t="str">
        <x:v>2026-07-28</x:v>
      </x:c>
      <x:c r="AF9" s="20" t="str">
        <x:v>实测江岸入口、洗手间和座椅</x:v>
      </x:c>
    </x:row>
    <x:row r="10" ht="54" customHeight="1">
      <x:c r="A10" s="20" t="str">
        <x:v>CQ005</x:v>
      </x:c>
      <x:c r="B10" s="20" t="str">
        <x:v>洪崖洞外观与层级</x:v>
      </x:c>
      <x:c r="C10" s="20" t="str">
        <x:v>渝中</x:v>
      </x:c>
      <x:c r="D10" s="20" t="str">
        <x:v>D1立体城市</x:v>
      </x:c>
      <x:c r="E10" s="20" t="str">
        <x:v>夜景/更新</x:v>
      </x:c>
      <x:c r="F10" s="20" t="str">
        <x:v>必去核心</x:v>
      </x:c>
      <x:c r="G10" s="20" t="str">
        <x:v>视觉钩子但内部限时</x:v>
      </x:c>
      <x:c r="H10" s="20" t="str">
        <x:v>首次来渝/摄影</x:v>
      </x:c>
      <x:c r="I10" s="24" t="n">
        <x:v>5</x:v>
      </x:c>
      <x:c r="J10" s="24" t="n">
        <x:v>3</x:v>
      </x:c>
      <x:c r="K10" s="24" t="n">
        <x:v>5</x:v>
      </x:c>
      <x:c r="L10" s="24" t="n">
        <x:v>4</x:v>
      </x:c>
      <x:c r="M10" s="24" t="n">
        <x:v>2</x:v>
      </x:c>
      <x:c r="N10" s="27" t="n">
        <x:f>ROUND((I10*'筛选标准'!$B$7+J10*'筛选标准'!$B$8+K10*'筛选标准'!$B$9+L10*'筛选标准'!$B$10+M10*'筛选标准'!$B$11)*20,0)</x:f>
        <x:v>80</x:v>
      </x:c>
      <x:c r="O10" s="24" t="n">
        <x:v>4</x:v>
      </x:c>
      <x:c r="P10" s="24" t="n">
        <x:v>5</x:v>
      </x:c>
      <x:c r="Q10" s="24" t="n">
        <x:v>4</x:v>
      </x:c>
      <x:c r="R10" s="24" t="n">
        <x:v>0</x:v>
      </x:c>
      <x:c r="S10" s="27" t="n">
        <x:f>ROUND((O10*'筛选标准'!$B$14+P10*'筛选标准'!$B$15+Q10*'筛选标准'!$B$16+R10*5*'筛选标准'!$B$17)*20,0)</x:f>
        <x:v>73</x:v>
      </x:c>
      <x:c r="T10" s="24" t="str">
        <x:f>IF(S10&gt;=85,"A",IF(S10&gt;=70,"B",IF(S10&gt;=50,"C","D")))</x:f>
        <x:v>B</x:v>
      </x:c>
      <x:c r="U10" s="20" t="n">
        <x:v>45</x:v>
      </x:c>
      <x:c r="V10" s="20" t="str">
        <x:v>亮灯后</x:v>
      </x:c>
      <x:c r="W10" s="20" t="str">
        <x:v>步行至千厮门/大剧院对岸</x:v>
      </x:c>
      <x:c r="X10" s="20" t="str">
        <x:v>人流与出口；内部商业同质</x:v>
      </x:c>
      <x:c r="Y10" s="20" t="str">
        <x:v>大雨删除或隔江看</x:v>
      </x:c>
      <x:c r="Z10" s="20" t="str">
        <x:v>节假日封路、内部拥挤</x:v>
      </x:c>
      <x:c r="AA10" s="20" t="str">
        <x:v>把历史吊脚楼意象、2000年代重建和城市品牌分开讲</x:v>
      </x:c>
      <x:c r="AB10" s="20" t="str">
        <x:v>比较内部商业体验与外部整体视角</x:v>
      </x:c>
      <x:c r="AC10" s="20" t="str">
        <x:v>https://doi.org/10.17645/up.v7i4.5810</x:v>
      </x:c>
      <x:c r="AD10" s="20" t="str">
        <x:v>https://eprints.whiterose.ac.uk/id/eprint/185301/</x:v>
      </x:c>
      <x:c r="AE10" s="20" t="str">
        <x:v>2026-07-28</x:v>
      </x:c>
      <x:c r="AF10" s="20" t="str">
        <x:v>核验亮灯、单向动线和最佳退出点</x:v>
      </x:c>
    </x:row>
    <x:row r="11" ht="54" customHeight="1">
      <x:c r="A11" s="20" t="str">
        <x:v>CQ006</x:v>
      </x:c>
      <x:c r="B11" s="20" t="str">
        <x:v>千厮门大桥—大剧院江岸视角</x:v>
      </x:c>
      <x:c r="C11" s="20" t="str">
        <x:v>江北</x:v>
      </x:c>
      <x:c r="D11" s="20" t="str">
        <x:v>D1立体城市</x:v>
      </x:c>
      <x:c r="E11" s="20" t="str">
        <x:v>桥梁/夜景</x:v>
      </x:c>
      <x:c r="F11" s="20" t="str">
        <x:v>必去核心</x:v>
      </x:c>
      <x:c r="G11" s="20" t="str">
        <x:v>主城夜景的外部读图位</x:v>
      </x:c>
      <x:c r="H11" s="20" t="str">
        <x:v>摄影/建筑/首次来渝</x:v>
      </x:c>
      <x:c r="I11" s="24" t="n">
        <x:v>5</x:v>
      </x:c>
      <x:c r="J11" s="24" t="n">
        <x:v>4</x:v>
      </x:c>
      <x:c r="K11" s="24" t="n">
        <x:v>5</x:v>
      </x:c>
      <x:c r="L11" s="24" t="n">
        <x:v>5</x:v>
      </x:c>
      <x:c r="M11" s="24" t="n">
        <x:v>3</x:v>
      </x:c>
      <x:c r="N11" s="27" t="n">
        <x:f>ROUND((I11*'筛选标准'!$B$7+J11*'筛选标准'!$B$8+K11*'筛选标准'!$B$9+L11*'筛选标准'!$B$10+M11*'筛选标准'!$B$11)*20,0)</x:f>
        <x:v>91</x:v>
      </x:c>
      <x:c r="O11" s="24" t="n">
        <x:v>5</x:v>
      </x:c>
      <x:c r="P11" s="24" t="n">
        <x:v>5</x:v>
      </x:c>
      <x:c r="Q11" s="24" t="n">
        <x:v>4</x:v>
      </x:c>
      <x:c r="R11" s="24" t="n">
        <x:v>0</x:v>
      </x:c>
      <x:c r="S11" s="27" t="n">
        <x:f>ROUND((O11*'筛选标准'!$B$14+P11*'筛选标准'!$B$15+Q11*'筛选标准'!$B$16+R11*5*'筛选标准'!$B$17)*20,0)</x:f>
        <x:v>81</x:v>
      </x:c>
      <x:c r="T11" s="24" t="str">
        <x:f>IF(S11&gt;=85,"A",IF(S11&gt;=70,"B",IF(S11&gt;=50,"C","D")))</x:f>
        <x:v>B</x:v>
      </x:c>
      <x:c r="U11" s="20" t="n">
        <x:v>75</x:v>
      </x:c>
      <x:c r="V11" s="20" t="str">
        <x:v>蓝调至夜间</x:v>
      </x:c>
      <x:c r="W11" s="20" t="str">
        <x:v>大剧院站/步行</x:v>
      </x:c>
      <x:c r="X11" s="20" t="str">
        <x:v>桥面风大；活动时封控</x:v>
      </x:c>
      <x:c r="Y11" s="20" t="str">
        <x:v>雨天在大剧院周边有顶空间</x:v>
      </x:c>
      <x:c r="Z11" s="20" t="str">
        <x:v>桥面管制、无人机表演大客流</x:v>
      </x:c>
      <x:c r="AA11" s="20" t="str">
        <x:v>不挤进洪崖洞，用桥、崖、江和楼群解释整体空间</x:v>
      </x:c>
      <x:c r="AB11" s="20" t="str">
        <x:v>从对岸指出洪崖洞、解放碑高地和朝天门</x:v>
      </x:c>
      <x:c r="AC11" s="20" t="str">
        <x:v>https://www.cq.gov.cn/zwgk/zfxxgkml/zdlyxxgk/ggwh/ly/zxdt/202511/t20251107_15146900.html</x:v>
      </x:c>
      <x:c r="AD11" s="20" t="str">
        <x:v>https://www.cq.gov.cn/ywdt/jrcq/202605/t20260531_15716501_app.html</x:v>
      </x:c>
      <x:c r="AE11" s="20" t="str">
        <x:v>2026-07-28</x:v>
      </x:c>
      <x:c r="AF11" s="20" t="str">
        <x:v>核验桥面开放和最佳机位容量</x:v>
      </x:c>
    </x:row>
    <x:row r="12" ht="54" customHeight="1">
      <x:c r="A12" s="20" t="str">
        <x:v>CQ007</x:v>
      </x:c>
      <x:c r="B12" s="20" t="str">
        <x:v>“新韵重庆”无人机灯光秀</x:v>
      </x:c>
      <x:c r="C12" s="20" t="str">
        <x:v>两江四岸</x:v>
      </x:c>
      <x:c r="D12" s="20" t="str">
        <x:v>D1立体城市</x:v>
      </x:c>
      <x:c r="E12" s="20" t="str">
        <x:v>城市演出</x:v>
      </x:c>
      <x:c r="F12" s="20" t="str">
        <x:v>条件推荐</x:v>
      </x:c>
      <x:c r="G12" s="20" t="str">
        <x:v>周六/节假日现代城市模块</x:v>
      </x:c>
      <x:c r="H12" s="20" t="str">
        <x:v>亲子/摄影/首次来渝</x:v>
      </x:c>
      <x:c r="I12" s="24" t="n">
        <x:v>5</x:v>
      </x:c>
      <x:c r="J12" s="24" t="n">
        <x:v>3</x:v>
      </x:c>
      <x:c r="K12" s="24" t="n">
        <x:v>4</x:v>
      </x:c>
      <x:c r="L12" s="24" t="n">
        <x:v>5</x:v>
      </x:c>
      <x:c r="M12" s="24" t="n">
        <x:v>2</x:v>
      </x:c>
      <x:c r="N12" s="27" t="n">
        <x:f>ROUND((I12*'筛选标准'!$B$7+J12*'筛选标准'!$B$8+K12*'筛选标准'!$B$9+L12*'筛选标准'!$B$10+M12*'筛选标准'!$B$11)*20,0)</x:f>
        <x:v>80</x:v>
      </x:c>
      <x:c r="O12" s="24" t="n">
        <x:v>5</x:v>
      </x:c>
      <x:c r="P12" s="24" t="n">
        <x:v>5</x:v>
      </x:c>
      <x:c r="Q12" s="24" t="n">
        <x:v>5</x:v>
      </x:c>
      <x:c r="R12" s="24" t="n">
        <x:v>0</x:v>
      </x:c>
      <x:c r="S12" s="27" t="n">
        <x:f>ROUND((O12*'筛选标准'!$B$14+P12*'筛选标准'!$B$15+Q12*'筛选标准'!$B$16+R12*5*'筛选标准'!$B$17)*20,0)</x:f>
        <x:v>85</x:v>
      </x:c>
      <x:c r="T12" s="24" t="str">
        <x:f>IF(S12&gt;=85,"A",IF(S12&gt;=70,"B",IF(S12&gt;=50,"C","D")))</x:f>
        <x:v>A</x:v>
      </x:c>
      <x:c r="U12" s="20" t="n">
        <x:v>40</x:v>
      </x:c>
      <x:c r="V12" s="20" t="str">
        <x:v>官方当月公告</x:v>
      </x:c>
      <x:c r="W12" s="20" t="str">
        <x:v>朝天门/江北嘴/南滨路</x:v>
      </x:c>
      <x:c r="X12" s="20" t="str">
        <x:v>无需语言但需疏散提示</x:v>
      </x:c>
      <x:c r="Y12" s="20" t="str">
        <x:v>天气取消则普通夜景</x:v>
      </x:c>
      <x:c r="Z12" s="20" t="str">
        <x:v>临时取消、交通管制、拥挤</x:v>
      </x:c>
      <x:c r="AA12" s="20" t="str">
        <x:v>把它作为当代城市品牌和治理能力，不当作历史文化</x:v>
      </x:c>
      <x:c r="AB12" s="20" t="str">
        <x:v>比较不同岸线的视角、风向和人流组织</x:v>
      </x:c>
      <x:c r="AC12" s="20" t="str">
        <x:v>https://www.cq.gov.cn/ywdt/jrcq/202605/t20260531_15716501_app.html</x:v>
      </x:c>
      <x:c r="AD12" s="20" t="str">
        <x:v>https://eprints.whiterose.ac.uk/id/eprint/185301/</x:v>
      </x:c>
      <x:c r="AE12" s="20" t="str">
        <x:v>2026-07-28</x:v>
      </x:c>
      <x:c r="AF12" s="20" t="str">
        <x:v>每月复核排期和现场疏散路线</x:v>
      </x:c>
    </x:row>
    <x:row r="13" ht="54" customHeight="1">
      <x:c r="A13" s="20" t="str">
        <x:v>CQ008</x:v>
      </x:c>
      <x:c r="B13" s="20" t="str">
        <x:v>重庆湖广会馆</x:v>
      </x:c>
      <x:c r="C13" s="20" t="str">
        <x:v>渝中</x:v>
      </x:c>
      <x:c r="D13" s="20" t="str">
        <x:v>D2母城城门</x:v>
      </x:c>
      <x:c r="E13" s="20" t="str">
        <x:v>会馆/移民史</x:v>
      </x:c>
      <x:c r="F13" s="20" t="str">
        <x:v>必去核心</x:v>
      </x:c>
      <x:c r="G13" s="20" t="str">
        <x:v>人口迁徙与城市商业的入口</x:v>
      </x:c>
      <x:c r="H13" s="20" t="str">
        <x:v>文化/建筑/亲子</x:v>
      </x:c>
      <x:c r="I13" s="24" t="n">
        <x:v>5</x:v>
      </x:c>
      <x:c r="J13" s="24" t="n">
        <x:v>5</x:v>
      </x:c>
      <x:c r="K13" s="24" t="n">
        <x:v>5</x:v>
      </x:c>
      <x:c r="L13" s="24" t="n">
        <x:v>3</x:v>
      </x:c>
      <x:c r="M13" s="24" t="n">
        <x:v>4</x:v>
      </x:c>
      <x:c r="N13" s="27" t="n">
        <x:f>ROUND((I13*'筛选标准'!$B$7+J13*'筛选标准'!$B$8+K13*'筛选标准'!$B$9+L13*'筛选标准'!$B$10+M13*'筛选标准'!$B$11)*20,0)</x:f>
        <x:v>90</x:v>
      </x:c>
      <x:c r="O13" s="24" t="n">
        <x:v>5</x:v>
      </x:c>
      <x:c r="P13" s="24" t="n">
        <x:v>5</x:v>
      </x:c>
      <x:c r="Q13" s="24" t="n">
        <x:v>4</x:v>
      </x:c>
      <x:c r="R13" s="24" t="n">
        <x:v>0</x:v>
      </x:c>
      <x:c r="S13" s="27" t="n">
        <x:f>ROUND((O13*'筛选标准'!$B$14+P13*'筛选标准'!$B$15+Q13*'筛选标准'!$B$16+R13*5*'筛选标准'!$B$17)*20,0)</x:f>
        <x:v>81</x:v>
      </x:c>
      <x:c r="T13" s="24" t="str">
        <x:f>IF(S13&gt;=85,"A",IF(S13&gt;=70,"B",IF(S13&gt;=50,"C","D")))</x:f>
        <x:v>B</x:v>
      </x:c>
      <x:c r="U13" s="20" t="n">
        <x:v>90</x:v>
      </x:c>
      <x:c r="V13" s="20" t="str">
        <x:v>开馆即入</x:v>
      </x:c>
      <x:c r="W13" s="20" t="str">
        <x:v>小什字8号口+东水门电梯</x:v>
      </x:c>
      <x:c r="X13" s="20" t="str">
        <x:v>护照购票、英文讲解覆盖待核验</x:v>
      </x:c>
      <x:c r="Y13" s="20" t="str">
        <x:v>雨天核心</x:v>
      </x:c>
      <x:c r="Z13" s="20" t="str">
        <x:v>节假日演出/人流</x:v>
      </x:c>
      <x:c r="AA13" s="20" t="str">
        <x:v>不是古建筑打卡；讲会馆如何提供同乡互助、商业和信仰网络</x:v>
      </x:c>
      <x:c r="AB13" s="20" t="str">
        <x:v>找不同会所、戏台和木雕题材的功能差异</x:v>
      </x:c>
      <x:c r="AC13" s="20" t="str">
        <x:v>https://whlyw.cq.gov.cn/zjwl/yzq/cqwlzy/zqwwzy/202405/t20240507_13182428.html</x:v>
      </x:c>
      <x:c r="AD13" s="20" t="str">
        <x:v>https://whlyw.cq.gov.cn/hdjl_221/xzzq/202601/t20260115_15320860.html</x:v>
      </x:c>
      <x:c r="AE13" s="20" t="str">
        <x:v>2026-07-28</x:v>
      </x:c>
      <x:c r="AF13" s="20" t="str">
        <x:v>电话核验英文导览、票务和演出</x:v>
      </x:c>
    </x:row>
    <x:row r="14" ht="54" customHeight="1">
      <x:c r="A14" s="20" t="str">
        <x:v>CQ009</x:v>
      </x:c>
      <x:c r="B14" s="20" t="str">
        <x:v>东水门城门城墙</x:v>
      </x:c>
      <x:c r="C14" s="20" t="str">
        <x:v>渝中</x:v>
      </x:c>
      <x:c r="D14" s="20" t="str">
        <x:v>D2母城城门</x:v>
      </x:c>
      <x:c r="E14" s="20" t="str">
        <x:v>城墙遗址</x:v>
      </x:c>
      <x:c r="F14" s="20" t="str">
        <x:v>必去核心</x:v>
      </x:c>
      <x:c r="G14" s="20" t="str">
        <x:v>从水路进入母城的真实遗存</x:v>
      </x:c>
      <x:c r="H14" s="20" t="str">
        <x:v>历史/建筑/步行</x:v>
      </x:c>
      <x:c r="I14" s="24" t="n">
        <x:v>5</x:v>
      </x:c>
      <x:c r="J14" s="24" t="n">
        <x:v>5</x:v>
      </x:c>
      <x:c r="K14" s="24" t="n">
        <x:v>5</x:v>
      </x:c>
      <x:c r="L14" s="24" t="n">
        <x:v>4</x:v>
      </x:c>
      <x:c r="M14" s="24" t="n">
        <x:v>4</x:v>
      </x:c>
      <x:c r="N14" s="27" t="n">
        <x:f>ROUND((I14*'筛选标准'!$B$7+J14*'筛选标准'!$B$8+K14*'筛选标准'!$B$9+L14*'筛选标准'!$B$10+M14*'筛选标准'!$B$11)*20,0)</x:f>
        <x:v>94</x:v>
      </x:c>
      <x:c r="O14" s="24" t="n">
        <x:v>5</x:v>
      </x:c>
      <x:c r="P14" s="24" t="n">
        <x:v>5</x:v>
      </x:c>
      <x:c r="Q14" s="24" t="n">
        <x:v>4</x:v>
      </x:c>
      <x:c r="R14" s="24" t="n">
        <x:v>0</x:v>
      </x:c>
      <x:c r="S14" s="27" t="n">
        <x:f>ROUND((O14*'筛选标准'!$B$14+P14*'筛选标准'!$B$15+Q14*'筛选标准'!$B$16+R14*5*'筛选标准'!$B$17)*20,0)</x:f>
        <x:v>81</x:v>
      </x:c>
      <x:c r="T14" s="24" t="str">
        <x:f>IF(S14&gt;=85,"A",IF(S14&gt;=70,"B",IF(S14&gt;=50,"C","D")))</x:f>
        <x:v>B</x:v>
      </x:c>
      <x:c r="U14" s="20" t="n">
        <x:v>30</x:v>
      </x:c>
      <x:c r="V14" s="20" t="str">
        <x:v>湖广会馆前后</x:v>
      </x:c>
      <x:c r="W14" s="20" t="str">
        <x:v>湖广会馆旁步行</x:v>
      </x:c>
      <x:c r="X14" s="20" t="str">
        <x:v>标识英文覆盖待核验</x:v>
      </x:c>
      <x:c r="Y14" s="20" t="str">
        <x:v>小雨可</x:v>
      </x:c>
      <x:c r="Z14" s="20" t="str">
        <x:v>坡坎、石面湿滑</x:v>
      </x:c>
      <x:c r="AA14" s="20" t="str">
        <x:v>把城墙从抽象故事变成地形防御：山、江、门一体</x:v>
      </x:c>
      <x:c r="AB14" s="20" t="str">
        <x:v>观察城门内外高差和城墙如何贴着山体</x:v>
      </x:c>
      <x:c r="AC14" s="20" t="str">
        <x:v>https://whlyw.cq.gov.cn/zjwl/yzq/cqwlzy/zqwwzy/202405/t20240507_13182468.html</x:v>
      </x:c>
      <x:c r="AD14" s="20" t="str">
        <x:v>https://www.cqyz.gov.cn/zjyz/lyyz/rmdkd/202202/t20220215_10397616.html</x:v>
      </x:c>
      <x:c r="AE14" s="20" t="str">
        <x:v>2026-07-28</x:v>
      </x:c>
      <x:c r="AF14" s="20" t="str">
        <x:v>核验连通湖广会馆的最短路径</x:v>
      </x:c>
    </x:row>
    <x:row r="15" ht="54" customHeight="1">
      <x:c r="A15" s="20" t="str">
        <x:v>CQ010</x:v>
      </x:c>
      <x:c r="B15" s="20" t="str">
        <x:v>白象街历史文化街区</x:v>
      </x:c>
      <x:c r="C15" s="20" t="str">
        <x:v>渝中</x:v>
      </x:c>
      <x:c r="D15" s="20" t="str">
        <x:v>D2母城城门</x:v>
      </x:c>
      <x:c r="E15" s="20" t="str">
        <x:v>开埠/金融街区</x:v>
      </x:c>
      <x:c r="F15" s="20" t="str">
        <x:v>深度推荐</x:v>
      </x:c>
      <x:c r="G15" s="20" t="str">
        <x:v>下半城商业与开埠史连接</x:v>
      </x:c>
      <x:c r="H15" s="20" t="str">
        <x:v>城市史/建筑</x:v>
      </x:c>
      <x:c r="I15" s="24" t="n">
        <x:v>4</x:v>
      </x:c>
      <x:c r="J15" s="24" t="n">
        <x:v>4</x:v>
      </x:c>
      <x:c r="K15" s="24" t="n">
        <x:v>5</x:v>
      </x:c>
      <x:c r="L15" s="24" t="n">
        <x:v>4</x:v>
      </x:c>
      <x:c r="M15" s="24" t="n">
        <x:v>4</x:v>
      </x:c>
      <x:c r="N15" s="27" t="n">
        <x:f>ROUND((I15*'筛选标准'!$B$7+J15*'筛选标准'!$B$8+K15*'筛选标准'!$B$9+L15*'筛选标准'!$B$10+M15*'筛选标准'!$B$11)*20,0)</x:f>
        <x:v>84</x:v>
      </x:c>
      <x:c r="O15" s="24" t="n">
        <x:v>5</x:v>
      </x:c>
      <x:c r="P15" s="24" t="n">
        <x:v>4</x:v>
      </x:c>
      <x:c r="Q15" s="24" t="n">
        <x:v>4</x:v>
      </x:c>
      <x:c r="R15" s="24" t="n">
        <x:v>0</x:v>
      </x:c>
      <x:c r="S15" s="27" t="n">
        <x:f>ROUND((O15*'筛选标准'!$B$14+P15*'筛选标准'!$B$15+Q15*'筛选标准'!$B$16+R15*5*'筛选标准'!$B$17)*20,0)</x:f>
        <x:v>76</x:v>
      </x:c>
      <x:c r="T15" s="24" t="str">
        <x:f>IF(S15&gt;=85,"A",IF(S15&gt;=70,"B",IF(S15&gt;=50,"C","D")))</x:f>
        <x:v>B</x:v>
      </x:c>
      <x:c r="U15" s="20" t="n">
        <x:v>60</x:v>
      </x:c>
      <x:c r="V15" s="20" t="str">
        <x:v>午前/午后</x:v>
      </x:c>
      <x:c r="W15" s="20" t="str">
        <x:v>东水门步行</x:v>
      </x:c>
      <x:c r="X15" s="20" t="str">
        <x:v>新旧建筑边界容易混淆</x:v>
      </x:c>
      <x:c r="Y15" s="20" t="str">
        <x:v>雨天缩短</x:v>
      </x:c>
      <x:c r="Z15" s="20" t="str">
        <x:v>商业更新、活动封控</x:v>
      </x:c>
      <x:c r="AA15" s="20" t="str">
        <x:v>用邮政、金融和下半城商业解释通江贸易</x:v>
      </x:c>
      <x:c r="AB15" s="20" t="str">
        <x:v>辨认历史建筑与仿古/新建部分</x:v>
      </x:c>
      <x:c r="AC15" s="20" t="str">
        <x:v>https://ghzrzyj.cq.gov.cn/bsfw_186/dtfw/mzyt/202511/t20251124_15184222_wap.html</x:v>
      </x:c>
      <x:c r="AD15" s="20" t="str">
        <x:v>https://ghzrzyj.cq.gov.cn/ztlm_186/ghgb/zxgh/202507/P020250716371670706300.pdf</x:v>
      </x:c>
      <x:c r="AE15" s="20" t="str">
        <x:v>2026-07-28</x:v>
      </x:c>
      <x:c r="AF15" s="20" t="str">
        <x:v>实测仍开放的历史建筑与展陈</x:v>
      </x:c>
    </x:row>
    <x:row r="16" ht="54" customHeight="1">
      <x:c r="A16" s="20" t="str">
        <x:v>CQ011</x:v>
      </x:c>
      <x:c r="B16" s="20" t="str">
        <x:v>白象居外围与公共通道</x:v>
      </x:c>
      <x:c r="C16" s="20" t="str">
        <x:v>渝中</x:v>
      </x:c>
      <x:c r="D16" s="20" t="str">
        <x:v>D2母城城门</x:v>
      </x:c>
      <x:c r="E16" s="20" t="str">
        <x:v>住宅/垂直空间</x:v>
      </x:c>
      <x:c r="F16" s="20" t="str">
        <x:v>条件推荐</x:v>
      </x:c>
      <x:c r="G16" s="20" t="str">
        <x:v>住宅与城市交通叠加案例</x:v>
      </x:c>
      <x:c r="H16" s="20" t="str">
        <x:v>建筑/摄影/背包客</x:v>
      </x:c>
      <x:c r="I16" s="24" t="n">
        <x:v>5</x:v>
      </x:c>
      <x:c r="J16" s="24" t="n">
        <x:v>5</x:v>
      </x:c>
      <x:c r="K16" s="24" t="n">
        <x:v>4</x:v>
      </x:c>
      <x:c r="L16" s="24" t="n">
        <x:v>2</x:v>
      </x:c>
      <x:c r="M16" s="24" t="n">
        <x:v>2</x:v>
      </x:c>
      <x:c r="N16" s="27" t="n">
        <x:f>ROUND((I16*'筛选标准'!$B$7+J16*'筛选标准'!$B$8+K16*'筛选标准'!$B$9+L16*'筛选标准'!$B$10+M16*'筛选标准'!$B$11)*20,0)</x:f>
        <x:v>78</x:v>
      </x:c>
      <x:c r="O16" s="24" t="n">
        <x:v>3</x:v>
      </x:c>
      <x:c r="P16" s="24" t="n">
        <x:v>3</x:v>
      </x:c>
      <x:c r="Q16" s="24" t="n">
        <x:v>3</x:v>
      </x:c>
      <x:c r="R16" s="24" t="n">
        <x:v>0</x:v>
      </x:c>
      <x:c r="S16" s="27" t="n">
        <x:f>ROUND((O16*'筛选标准'!$B$14+P16*'筛选标准'!$B$15+Q16*'筛选标准'!$B$16+R16*5*'筛选标准'!$B$17)*20,0)</x:f>
        <x:v>51</x:v>
      </x:c>
      <x:c r="T16" s="24" t="str">
        <x:f>IF(S16&gt;=85,"A",IF(S16&gt;=70,"B",IF(S16&gt;=50,"C","D")))</x:f>
        <x:v>C</x:v>
      </x:c>
      <x:c r="U16" s="20" t="n">
        <x:v>35</x:v>
      </x:c>
      <x:c r="V16" s="20" t="str">
        <x:v>工作日白天</x:v>
      </x:c>
      <x:c r="W16" s="20" t="str">
        <x:v>白象街步行</x:v>
      </x:c>
      <x:c r="X16" s="20" t="str">
        <x:v>居民隐私、消防通道、无英文服务</x:v>
      </x:c>
      <x:c r="Y16" s="20" t="str">
        <x:v>雨天不建议</x:v>
      </x:c>
      <x:c r="Z16" s="20" t="str">
        <x:v>扰民、封闭、错误机位</x:v>
      </x:c>
      <x:c r="AA16" s="20" t="str">
        <x:v>价值在住宅如何成为城市连接，不是进入居民私域拍照</x:v>
      </x:c>
      <x:c r="AB16" s="20" t="str">
        <x:v>只走公共通道；记录哪些空间对居民是日常而非景点</x:v>
      </x:c>
      <x:c r="AC16" s="20" t="str">
        <x:v>https://eprints.whiterose.ac.uk/id/eprint/185301/</x:v>
      </x:c>
      <x:c r="AD16" s="20" t="str">
        <x:v>https://www.reddit.com/r/travelchina/comments/1v4olqp/thoughts_on_my_chongqing_itinerary/</x:v>
      </x:c>
      <x:c r="AE16" s="20" t="str">
        <x:v>2026-07-28</x:v>
      </x:c>
      <x:c r="AF16" s="20" t="str">
        <x:v>由本地人确认公共边界和可拍摄点</x:v>
      </x:c>
    </x:row>
    <x:row r="17" ht="54" customHeight="1">
      <x:c r="A17" s="20" t="str">
        <x:v>CQ012</x:v>
      </x:c>
      <x:c r="B17" s="20" t="str">
        <x:v>通远门古城墙</x:v>
      </x:c>
      <x:c r="C17" s="20" t="str">
        <x:v>渝中</x:v>
      </x:c>
      <x:c r="D17" s="20" t="str">
        <x:v>D2母城城门</x:v>
      </x:c>
      <x:c r="E17" s="20" t="str">
        <x:v>城墙遗址</x:v>
      </x:c>
      <x:c r="F17" s="20" t="str">
        <x:v>必去核心</x:v>
      </x:c>
      <x:c r="G17" s="20" t="str">
        <x:v>陆路入口与母城边界</x:v>
      </x:c>
      <x:c r="H17" s="20" t="str">
        <x:v>历史/步行/建筑</x:v>
      </x:c>
      <x:c r="I17" s="24" t="n">
        <x:v>5</x:v>
      </x:c>
      <x:c r="J17" s="24" t="n">
        <x:v>5</x:v>
      </x:c>
      <x:c r="K17" s="24" t="n">
        <x:v>5</x:v>
      </x:c>
      <x:c r="L17" s="24" t="n">
        <x:v>4</x:v>
      </x:c>
      <x:c r="M17" s="24" t="n">
        <x:v>4</x:v>
      </x:c>
      <x:c r="N17" s="27" t="n">
        <x:f>ROUND((I17*'筛选标准'!$B$7+J17*'筛选标准'!$B$8+K17*'筛选标准'!$B$9+L17*'筛选标准'!$B$10+M17*'筛选标准'!$B$11)*20,0)</x:f>
        <x:v>94</x:v>
      </x:c>
      <x:c r="O17" s="24" t="n">
        <x:v>5</x:v>
      </x:c>
      <x:c r="P17" s="24" t="n">
        <x:v>5</x:v>
      </x:c>
      <x:c r="Q17" s="24" t="n">
        <x:v>5</x:v>
      </x:c>
      <x:c r="R17" s="24" t="n">
        <x:v>0</x:v>
      </x:c>
      <x:c r="S17" s="27" t="n">
        <x:f>ROUND((O17*'筛选标准'!$B$14+P17*'筛选标准'!$B$15+Q17*'筛选标准'!$B$16+R17*5*'筛选标准'!$B$17)*20,0)</x:f>
        <x:v>85</x:v>
      </x:c>
      <x:c r="T17" s="24" t="str">
        <x:f>IF(S17&gt;=85,"A",IF(S17&gt;=70,"B",IF(S17&gt;=50,"C","D")))</x:f>
        <x:v>A</x:v>
      </x:c>
      <x:c r="U17" s="20" t="n">
        <x:v>35</x:v>
      </x:c>
      <x:c r="V17" s="20" t="str">
        <x:v>下午山城步道前</x:v>
      </x:c>
      <x:c r="W17" s="20" t="str">
        <x:v>七星岗站步行</x:v>
      </x:c>
      <x:c r="X17" s="20" t="str">
        <x:v>英文解释不足</x:v>
      </x:c>
      <x:c r="Y17" s="20" t="str">
        <x:v>小雨可</x:v>
      </x:c>
      <x:c r="Z17" s="20" t="str">
        <x:v>城墙石面湿滑</x:v>
      </x:c>
      <x:c r="AA17" s="20" t="str">
        <x:v>十七城门中唯一不面水的开门，解释陆路防御与城市边界</x:v>
      </x:c>
      <x:c r="AB17" s="20" t="str">
        <x:v>从城外深壑想象古代进入重庆的路径</x:v>
      </x:c>
      <x:c r="AC17" s="20" t="str">
        <x:v>https://www.cqyz.gov.cn/zjyz/lyyz/rmdkd/202202/t20220215_10397616.html</x:v>
      </x:c>
      <x:c r="AD17" s="20" t="str">
        <x:v>https://whlyw.cq.gov.cn/zjwl/yzq/cqwlzy/zqwwzy/202405/t20240507_13182468.html</x:v>
      </x:c>
      <x:c r="AE17" s="20" t="str">
        <x:v>2026-07-28</x:v>
      </x:c>
      <x:c r="AF17" s="20" t="str">
        <x:v>核验到山城巷上入口的顺行路线</x:v>
      </x:c>
    </x:row>
    <x:row r="18" ht="54" customHeight="1">
      <x:c r="A18" s="20" t="str">
        <x:v>CQ013</x:v>
      </x:c>
      <x:c r="B18" s="20" t="str">
        <x:v>第三山城步道—山城巷段</x:v>
      </x:c>
      <x:c r="C18" s="20" t="str">
        <x:v>渝中</x:v>
      </x:c>
      <x:c r="D18" s="20" t="str">
        <x:v>D2母城城门</x:v>
      </x:c>
      <x:c r="E18" s="20" t="str">
        <x:v>山地步行系统</x:v>
      </x:c>
      <x:c r="F18" s="20" t="str">
        <x:v>必去核心</x:v>
      </x:c>
      <x:c r="G18" s="20" t="str">
        <x:v>用脚理解重庆，而非打卡街区</x:v>
      </x:c>
      <x:c r="H18" s="20" t="str">
        <x:v>背包客/建筑/城市观察</x:v>
      </x:c>
      <x:c r="I18" s="24" t="n">
        <x:v>5</x:v>
      </x:c>
      <x:c r="J18" s="24" t="n">
        <x:v>5</x:v>
      </x:c>
      <x:c r="K18" s="24" t="n">
        <x:v>5</x:v>
      </x:c>
      <x:c r="L18" s="24" t="n">
        <x:v>3</x:v>
      </x:c>
      <x:c r="M18" s="24" t="n">
        <x:v>2</x:v>
      </x:c>
      <x:c r="N18" s="27" t="n">
        <x:f>ROUND((I18*'筛选标准'!$B$7+J18*'筛选标准'!$B$8+K18*'筛选标准'!$B$9+L18*'筛选标准'!$B$10+M18*'筛选标准'!$B$11)*20,0)</x:f>
        <x:v>86</x:v>
      </x:c>
      <x:c r="O18" s="24" t="n">
        <x:v>5</x:v>
      </x:c>
      <x:c r="P18" s="24" t="n">
        <x:v>5</x:v>
      </x:c>
      <x:c r="Q18" s="24" t="n">
        <x:v>4</x:v>
      </x:c>
      <x:c r="R18" s="24" t="n">
        <x:v>0</x:v>
      </x:c>
      <x:c r="S18" s="27" t="n">
        <x:f>ROUND((O18*'筛选标准'!$B$14+P18*'筛选标准'!$B$15+Q18*'筛选标准'!$B$16+R18*5*'筛选标准'!$B$17)*20,0)</x:f>
        <x:v>81</x:v>
      </x:c>
      <x:c r="T18" s="24" t="str">
        <x:f>IF(S18&gt;=85,"A",IF(S18&gt;=70,"B",IF(S18&gt;=50,"C","D")))</x:f>
        <x:v>B</x:v>
      </x:c>
      <x:c r="U18" s="20" t="n">
        <x:v>150</x:v>
      </x:c>
      <x:c r="V18" s="20" t="str">
        <x:v>下午自上而下</x:v>
      </x:c>
      <x:c r="W18" s="20" t="str">
        <x:v>通远门/领事巷入，向长江下行</x:v>
      </x:c>
      <x:c r="X18" s="20" t="str">
        <x:v>导航、高差、台阶和出口</x:v>
      </x:c>
      <x:c r="Y18" s="20" t="str">
        <x:v>低体力改三峡博物馆+短段</x:v>
      </x:c>
      <x:c r="Z18" s="20" t="str">
        <x:v>连续下坡、雨后湿滑、夏季暴晒</x:v>
      </x:c>
      <x:c r="AA18" s="20" t="str">
        <x:v>步道是交通、社区客厅和历史遗存容器，不只是景观栈道</x:v>
      </x:c>
      <x:c r="AB18" s="20" t="str">
        <x:v>记录街—巷—院、休息平台与居民使用方式</x:v>
      </x:c>
      <x:c r="AC18" s="20" t="str">
        <x:v>https://www.shplanning.com.cn/archive/download/id/487.html</x:v>
      </x:c>
      <x:c r="AD18" s="20" t="str">
        <x:v>https://doi.org/10.17645/up.v7i4.5810</x:v>
      </x:c>
      <x:c r="AE18" s="20" t="str">
        <x:v>2026-07-28</x:v>
      </x:c>
      <x:c r="AF18" s="20" t="str">
        <x:v>整段实走：步数、坡度、洗手间、退出点</x:v>
      </x:c>
    </x:row>
    <x:row r="19" ht="54" customHeight="1">
      <x:c r="A19" s="20" t="str">
        <x:v>CQ014</x:v>
      </x:c>
      <x:c r="B19" s="20" t="str">
        <x:v>十八梯传统风貌区</x:v>
      </x:c>
      <x:c r="C19" s="20" t="str">
        <x:v>渝中</x:v>
      </x:c>
      <x:c r="D19" s="20" t="str">
        <x:v>D2母城城门</x:v>
      </x:c>
      <x:c r="E19" s="20" t="str">
        <x:v>更新街区</x:v>
      </x:c>
      <x:c r="F19" s="20" t="str">
        <x:v>只顺路</x:v>
      </x:c>
      <x:c r="G19" s="20" t="str">
        <x:v>连接上下半城并比较更新</x:v>
      </x:c>
      <x:c r="H19" s="20" t="str">
        <x:v>首次来渝/低研究门槛</x:v>
      </x:c>
      <x:c r="I19" s="24" t="n">
        <x:v>3</x:v>
      </x:c>
      <x:c r="J19" s="24" t="n">
        <x:v>3</x:v>
      </x:c>
      <x:c r="K19" s="24" t="n">
        <x:v>4</x:v>
      </x:c>
      <x:c r="L19" s="24" t="n">
        <x:v>5</x:v>
      </x:c>
      <x:c r="M19" s="24" t="n">
        <x:v>3</x:v>
      </x:c>
      <x:c r="N19" s="27" t="n">
        <x:f>ROUND((I19*'筛选标准'!$B$7+J19*'筛选标准'!$B$8+K19*'筛选标准'!$B$9+L19*'筛选标准'!$B$10+M19*'筛选标准'!$B$11)*20,0)</x:f>
        <x:v>72</x:v>
      </x:c>
      <x:c r="O19" s="24" t="n">
        <x:v>5</x:v>
      </x:c>
      <x:c r="P19" s="24" t="n">
        <x:v>5</x:v>
      </x:c>
      <x:c r="Q19" s="24" t="n">
        <x:v>5</x:v>
      </x:c>
      <x:c r="R19" s="24" t="n">
        <x:v>0</x:v>
      </x:c>
      <x:c r="S19" s="27" t="n">
        <x:f>ROUND((O19*'筛选标准'!$B$14+P19*'筛选标准'!$B$15+Q19*'筛选标准'!$B$16+R19*5*'筛选标准'!$B$17)*20,0)</x:f>
        <x:v>85</x:v>
      </x:c>
      <x:c r="T19" s="24" t="str">
        <x:f>IF(S19&gt;=85,"A",IF(S19&gt;=70,"B",IF(S19&gt;=50,"C","D")))</x:f>
        <x:v>A</x:v>
      </x:c>
      <x:c r="U19" s="20" t="n">
        <x:v>30</x:v>
      </x:c>
      <x:c r="V19" s="20" t="str">
        <x:v>非高峰</x:v>
      </x:c>
      <x:c r="W19" s="20" t="str">
        <x:v>较场口步行</x:v>
      </x:c>
      <x:c r="X19" s="20" t="str">
        <x:v>节假日拥挤</x:v>
      </x:c>
      <x:c r="Y19" s="20" t="str">
        <x:v>雨天可短停</x:v>
      </x:c>
      <x:c r="Z19" s="20" t="str">
        <x:v>商业同质、演出封路</x:v>
      </x:c>
      <x:c r="AA19" s="20" t="str">
        <x:v>不把它当“保存完好的老重庆”；用它讨论城市更新和记忆再现</x:v>
      </x:c>
      <x:c r="AB19" s="20" t="str">
        <x:v>比较原有通道功能、重建空间与当代消费</x:v>
      </x:c>
      <x:c r="AC19" s="20" t="str">
        <x:v>https://ghzrzyj.cq.gov.cn/bsfw_186/dtfw/mzyt/202511/t20251124_15184222_wap.html</x:v>
      </x:c>
      <x:c r="AD19" s="20" t="str">
        <x:v>https://eprints.whiterose.ac.uk/id/eprint/185301/</x:v>
      </x:c>
      <x:c r="AE19" s="20" t="str">
        <x:v>2026-07-28</x:v>
      </x:c>
      <x:c r="AF19" s="20" t="str">
        <x:v>核验是否值得保留为D2终点</x:v>
      </x:c>
    </x:row>
    <x:row r="20" ht="54" customHeight="1">
      <x:c r="A20" s="20" t="str">
        <x:v>CQ015</x:v>
      </x:c>
      <x:c r="B20" s="20" t="str">
        <x:v>重庆大轰炸遗址陈列馆</x:v>
      </x:c>
      <x:c r="C20" s="20" t="str">
        <x:v>渝中</x:v>
      </x:c>
      <x:c r="D20" s="20" t="str">
        <x:v>D2母城城门</x:v>
      </x:c>
      <x:c r="E20" s="20" t="str">
        <x:v>战争记忆</x:v>
      </x:c>
      <x:c r="F20" s="20" t="str">
        <x:v>条件推荐</x:v>
      </x:c>
      <x:c r="G20" s="20" t="str">
        <x:v>重历史模块；不与娱乐强行混排</x:v>
      </x:c>
      <x:c r="H20" s="20" t="str">
        <x:v>历史/教育/成年游客</x:v>
      </x:c>
      <x:c r="I20" s="24" t="n">
        <x:v>5</x:v>
      </x:c>
      <x:c r="J20" s="24" t="n">
        <x:v>5</x:v>
      </x:c>
      <x:c r="K20" s="24" t="n">
        <x:v>4</x:v>
      </x:c>
      <x:c r="L20" s="24" t="n">
        <x:v>3</x:v>
      </x:c>
      <x:c r="M20" s="24" t="n">
        <x:v>4</x:v>
      </x:c>
      <x:c r="N20" s="27" t="n">
        <x:f>ROUND((I20*'筛选标准'!$B$7+J20*'筛选标准'!$B$8+K20*'筛选标准'!$B$9+L20*'筛选标准'!$B$10+M20*'筛选标准'!$B$11)*20,0)</x:f>
        <x:v>86</x:v>
      </x:c>
      <x:c r="O20" s="24" t="n">
        <x:v>5</x:v>
      </x:c>
      <x:c r="P20" s="24" t="n">
        <x:v>4</x:v>
      </x:c>
      <x:c r="Q20" s="24" t="n">
        <x:v>5</x:v>
      </x:c>
      <x:c r="R20" s="24" t="n">
        <x:v>0</x:v>
      </x:c>
      <x:c r="S20" s="27" t="n">
        <x:f>ROUND((O20*'筛选标准'!$B$14+P20*'筛选标准'!$B$15+Q20*'筛选标准'!$B$16+R20*5*'筛选标准'!$B$17)*20,0)</x:f>
        <x:v>80</x:v>
      </x:c>
      <x:c r="T20" s="24" t="str">
        <x:f>IF(S20&gt;=85,"A",IF(S20&gt;=70,"B",IF(S20&gt;=50,"C","D")))</x:f>
        <x:v>B</x:v>
      </x:c>
      <x:c r="U20" s="20" t="n">
        <x:v>45</x:v>
      </x:c>
      <x:c r="V20" s="20" t="str">
        <x:v>10:00—17:30</x:v>
      </x:c>
      <x:c r="W20" s="20" t="str">
        <x:v>较场口站</x:v>
      </x:c>
      <x:c r="X20" s="20" t="str">
        <x:v>英文展陈和情绪承载待核验</x:v>
      </x:c>
      <x:c r="Y20" s="20" t="str">
        <x:v>雨天核心</x:v>
      </x:c>
      <x:c r="Z20" s="20" t="str">
        <x:v>内容沉重；儿童适配</x:v>
      </x:c>
      <x:c r="AA20" s="20" t="str">
        <x:v>从夜景奇观切回城市在战争中的平民经验</x:v>
      </x:c>
      <x:c r="AB20" s="20" t="str">
        <x:v>进入前给内容预警；离开后安排安静恢复</x:v>
      </x:c>
      <x:c r="AC20" s="20" t="str">
        <x:v>https://whlyw.cq.gov.cn/zwxx_221/bmdt/tzgg/202601/t20260115_15320690.html</x:v>
      </x:c>
      <x:c r="AD20" s="20" t="str">
        <x:v>https://www.cq.gov.cn/ywdt/zwhd/qxdt/202009/t20200907_8628081.html</x:v>
      </x:c>
      <x:c r="AE20" s="20" t="str">
        <x:v>2026-07-28</x:v>
      </x:c>
      <x:c r="AF20" s="20" t="str">
        <x:v>核验英文内容、预约和儿童适龄</x:v>
      </x:c>
    </x:row>
    <x:row r="21" ht="54" customHeight="1">
      <x:c r="A21" s="20" t="str">
        <x:v>CQ016</x:v>
      </x:c>
      <x:c r="B21" s="20" t="str">
        <x:v>重庆金融历史博物馆</x:v>
      </x:c>
      <x:c r="C21" s="20" t="str">
        <x:v>渝中</x:v>
      </x:c>
      <x:c r="D21" s="20" t="str">
        <x:v>D2母城城门</x:v>
      </x:c>
      <x:c r="E21" s="20" t="str">
        <x:v>金融/建筑</x:v>
      </x:c>
      <x:c r="F21" s="20" t="str">
        <x:v>条件推荐</x:v>
      </x:c>
      <x:c r="G21" s="20" t="str">
        <x:v>开埠商业的室内补充</x:v>
      </x:c>
      <x:c r="H21" s="20" t="str">
        <x:v>金融/建筑/雨天</x:v>
      </x:c>
      <x:c r="I21" s="24" t="n">
        <x:v>4</x:v>
      </x:c>
      <x:c r="J21" s="24" t="n">
        <x:v>4</x:v>
      </x:c>
      <x:c r="K21" s="24" t="n">
        <x:v>4</x:v>
      </x:c>
      <x:c r="L21" s="24" t="n">
        <x:v>4</x:v>
      </x:c>
      <x:c r="M21" s="24" t="n">
        <x:v>4</x:v>
      </x:c>
      <x:c r="N21" s="27" t="n">
        <x:f>ROUND((I21*'筛选标准'!$B$7+J21*'筛选标准'!$B$8+K21*'筛选标准'!$B$9+L21*'筛选标准'!$B$10+M21*'筛选标准'!$B$11)*20,0)</x:f>
        <x:v>80</x:v>
      </x:c>
      <x:c r="O21" s="24" t="n">
        <x:v>5</x:v>
      </x:c>
      <x:c r="P21" s="24" t="n">
        <x:v>4</x:v>
      </x:c>
      <x:c r="Q21" s="24" t="n">
        <x:v>5</x:v>
      </x:c>
      <x:c r="R21" s="24" t="n">
        <x:v>0</x:v>
      </x:c>
      <x:c r="S21" s="27" t="n">
        <x:f>ROUND((O21*'筛选标准'!$B$14+P21*'筛选标准'!$B$15+Q21*'筛选标准'!$B$16+R21*5*'筛选标准'!$B$17)*20,0)</x:f>
        <x:v>80</x:v>
      </x:c>
      <x:c r="T21" s="24" t="str">
        <x:f>IF(S21&gt;=85,"A",IF(S21&gt;=70,"B",IF(S21&gt;=50,"C","D")))</x:f>
        <x:v>B</x:v>
      </x:c>
      <x:c r="U21" s="20" t="n">
        <x:v>60</x:v>
      </x:c>
      <x:c r="V21" s="20" t="str">
        <x:v>避开12:00—13:30</x:v>
      </x:c>
      <x:c r="W21" s="20" t="str">
        <x:v>小什字步行</x:v>
      </x:c>
      <x:c r="X21" s="20" t="str">
        <x:v>英文展陈待核验</x:v>
      </x:c>
      <x:c r="Y21" s="20" t="str">
        <x:v>雨天核心</x:v>
      </x:c>
      <x:c r="Z21" s="20" t="str">
        <x:v>周一闭馆、午间闭馆</x:v>
      </x:c>
      <x:c r="AA21" s="20" t="str">
        <x:v>用银行建筑和金融机构解释重庆如何从码头城市进入现代商业</x:v>
      </x:c>
      <x:c r="AB21" s="20" t="str">
        <x:v>观察金库、立面和街区位置的关系</x:v>
      </x:c>
      <x:c r="AC21" s="20" t="str">
        <x:v>https://whlyw.cq.gov.cn/hdjl_221/xzzq/202601/t20260115_15320860.html</x:v>
      </x:c>
      <x:c r="AD21" s="20" t="str">
        <x:v>https://ghzrzyj.cq.gov.cn/bsfw_186/dtfw/mzyt/202511/t20251124_15184222_wap.html</x:v>
      </x:c>
      <x:c r="AE21" s="20" t="str">
        <x:v>2026-07-28</x:v>
      </x:c>
      <x:c r="AF21" s="20" t="str">
        <x:v>现场核验展陈质量和英文比例</x:v>
      </x:c>
    </x:row>
    <x:row r="22" ht="54" customHeight="1">
      <x:c r="A22" s="20" t="str">
        <x:v>CQ017</x:v>
      </x:c>
      <x:c r="B22" s="20" t="str">
        <x:v>重庆中国三峡博物馆</x:v>
      </x:c>
      <x:c r="C22" s="20" t="str">
        <x:v>渝中</x:v>
      </x:c>
      <x:c r="D22" s="20" t="str">
        <x:v>D3世界城市</x:v>
      </x:c>
      <x:c r="E22" s="20" t="str">
        <x:v>综合博物馆</x:v>
      </x:c>
      <x:c r="F22" s="20" t="str">
        <x:v>必去核心</x:v>
      </x:c>
      <x:c r="G22" s="20" t="str">
        <x:v>为巴渝、三峡、抗战建立框架</x:v>
      </x:c>
      <x:c r="H22" s="20" t="str">
        <x:v>文化/亲子/雨天</x:v>
      </x:c>
      <x:c r="I22" s="24" t="n">
        <x:v>5</x:v>
      </x:c>
      <x:c r="J22" s="24" t="n">
        <x:v>5</x:v>
      </x:c>
      <x:c r="K22" s="24" t="n">
        <x:v>5</x:v>
      </x:c>
      <x:c r="L22" s="24" t="n">
        <x:v>4</x:v>
      </x:c>
      <x:c r="M22" s="24" t="n">
        <x:v>4</x:v>
      </x:c>
      <x:c r="N22" s="27" t="n">
        <x:f>ROUND((I22*'筛选标准'!$B$7+J22*'筛选标准'!$B$8+K22*'筛选标准'!$B$9+L22*'筛选标准'!$B$10+M22*'筛选标准'!$B$11)*20,0)</x:f>
        <x:v>94</x:v>
      </x:c>
      <x:c r="O22" s="24" t="n">
        <x:v>5</x:v>
      </x:c>
      <x:c r="P22" s="24" t="n">
        <x:v>5</x:v>
      </x:c>
      <x:c r="Q22" s="24" t="n">
        <x:v>5</x:v>
      </x:c>
      <x:c r="R22" s="24" t="n">
        <x:v>0</x:v>
      </x:c>
      <x:c r="S22" s="27" t="n">
        <x:f>ROUND((O22*'筛选标准'!$B$14+P22*'筛选标准'!$B$15+Q22*'筛选标准'!$B$16+R22*5*'筛选标准'!$B$17)*20,0)</x:f>
        <x:v>85</x:v>
      </x:c>
      <x:c r="T22" s="24" t="str">
        <x:f>IF(S22&gt;=85,"A",IF(S22&gt;=70,"B",IF(S22&gt;=50,"C","D")))</x:f>
        <x:v>A</x:v>
      </x:c>
      <x:c r="U22" s="20" t="n">
        <x:v>150</x:v>
      </x:c>
      <x:c r="V22" s="20" t="str">
        <x:v>09:00开馆</x:v>
      </x:c>
      <x:c r="W22" s="20" t="str">
        <x:v>曾家岩站</x:v>
      </x:c>
      <x:c r="X22" s="20" t="str">
        <x:v>有效证件入馆；英文覆盖不均</x:v>
      </x:c>
      <x:c r="Y22" s="20" t="str">
        <x:v>雨天核心</x:v>
      </x:c>
      <x:c r="Z22" s="20" t="str">
        <x:v>周一闭馆、临展变化</x:v>
      </x:c>
      <x:c r="AA22" s="20" t="str">
        <x:v>只选与路线相关展厅，不做“逛完整馆”任务</x:v>
      </x:c>
      <x:c r="AB22" s="20" t="str">
        <x:v>先看地形与移民，再回看前两天所见</x:v>
      </x:c>
      <x:c r="AC22" s="20" t="str">
        <x:v>https://www.3gmuseum.cn/web/article/1430010139317059584/web/content_1430010139317059584.html</x:v>
      </x:c>
      <x:c r="AD22" s="20" t="str">
        <x:v>https://whlyw.cq.gov.cn/hdjl_221/xzzq/202601/t20260115_15320860.html</x:v>
      </x:c>
      <x:c r="AE22" s="20" t="str">
        <x:v>2026-07-28</x:v>
      </x:c>
      <x:c r="AF22" s="20" t="str">
        <x:v>实测护照入馆、英文展签、推荐展厅</x:v>
      </x:c>
    </x:row>
    <x:row r="23" ht="54" customHeight="1">
      <x:c r="A23" s="20" t="str">
        <x:v>CQ018</x:v>
      </x:c>
      <x:c r="B23" s="20" t="str">
        <x:v>重庆市人民大礼堂外观</x:v>
      </x:c>
      <x:c r="C23" s="20" t="str">
        <x:v>渝中</x:v>
      </x:c>
      <x:c r="D23" s="20" t="str">
        <x:v>D3世界城市</x:v>
      </x:c>
      <x:c r="E23" s="20" t="str">
        <x:v>公共建筑</x:v>
      </x:c>
      <x:c r="F23" s="20" t="str">
        <x:v>只顺路</x:v>
      </x:c>
      <x:c r="G23" s="20" t="str">
        <x:v>与三峡博物馆形成城市轴线</x:v>
      </x:c>
      <x:c r="H23" s="20" t="str">
        <x:v>建筑/摄影</x:v>
      </x:c>
      <x:c r="I23" s="24" t="n">
        <x:v>3</x:v>
      </x:c>
      <x:c r="J23" s="24" t="n">
        <x:v>4</x:v>
      </x:c>
      <x:c r="K23" s="24" t="n">
        <x:v>5</x:v>
      </x:c>
      <x:c r="L23" s="24" t="n">
        <x:v>5</x:v>
      </x:c>
      <x:c r="M23" s="24" t="n">
        <x:v>5</x:v>
      </x:c>
      <x:c r="N23" s="27" t="n">
        <x:f>ROUND((I23*'筛选标准'!$B$7+J23*'筛选标准'!$B$8+K23*'筛选标准'!$B$9+L23*'筛选标准'!$B$10+M23*'筛选标准'!$B$11)*20,0)</x:f>
        <x:v>85</x:v>
      </x:c>
      <x:c r="O23" s="24" t="n">
        <x:v>5</x:v>
      </x:c>
      <x:c r="P23" s="24" t="n">
        <x:v>4</x:v>
      </x:c>
      <x:c r="Q23" s="24" t="n">
        <x:v>4</x:v>
      </x:c>
      <x:c r="R23" s="24" t="n">
        <x:v>0</x:v>
      </x:c>
      <x:c r="S23" s="27" t="n">
        <x:f>ROUND((O23*'筛选标准'!$B$14+P23*'筛选标准'!$B$15+Q23*'筛选标准'!$B$16+R23*5*'筛选标准'!$B$17)*20,0)</x:f>
        <x:v>76</x:v>
      </x:c>
      <x:c r="T23" s="24" t="str">
        <x:f>IF(S23&gt;=85,"A",IF(S23&gt;=70,"B",IF(S23&gt;=50,"C","D")))</x:f>
        <x:v>B</x:v>
      </x:c>
      <x:c r="U23" s="20" t="n">
        <x:v>20</x:v>
      </x:c>
      <x:c r="V23" s="20" t="str">
        <x:v>博物馆前后</x:v>
      </x:c>
      <x:c r="W23" s="20" t="str">
        <x:v>人民广场步行</x:v>
      </x:c>
      <x:c r="X23" s="20" t="str">
        <x:v>活动时可能封控</x:v>
      </x:c>
      <x:c r="Y23" s="20" t="str">
        <x:v>雨天短停</x:v>
      </x:c>
      <x:c r="Z23" s="20" t="str">
        <x:v>会议活动封闭</x:v>
      </x:c>
      <x:c r="AA23" s="20" t="str">
        <x:v>讲20世纪公共建筑与当代城市仪式空间，外观足够</x:v>
      </x:c>
      <x:c r="AB23" s="20" t="str">
        <x:v>从博物馆台阶观察轴线、尺度与人流</x:v>
      </x:c>
      <x:c r="AC23" s="20" t="str">
        <x:v>https://whlyw.cq.gov.cn/hdjl_221/xzzq/202601/t20260115_15320860.html</x:v>
      </x:c>
      <x:c r="AD23" s="20" t="str">
        <x:v>https://ghzrzyj.cq.gov.cn/ztlm_186/ghgb/zxgh/202507/P020250716371670706300.pdf</x:v>
      </x:c>
      <x:c r="AE23" s="20" t="str">
        <x:v>2026-07-28</x:v>
      </x:c>
      <x:c r="AF23" s="20" t="str">
        <x:v>核验广场活动与最佳观察点</x:v>
      </x:c>
    </x:row>
    <x:row r="24" ht="54" customHeight="1">
      <x:c r="A24" s="20" t="str">
        <x:v>CQ019</x:v>
      </x:c>
      <x:c r="B24" s="20" t="str">
        <x:v>中山四路：桂园—周公馆—特园</x:v>
      </x:c>
      <x:c r="C24" s="20" t="str">
        <x:v>渝中</x:v>
      </x:c>
      <x:c r="D24" s="20" t="str">
        <x:v>D3世界城市</x:v>
      </x:c>
      <x:c r="E24" s="20" t="str">
        <x:v>抗战/外交街区</x:v>
      </x:c>
      <x:c r="F24" s="20" t="str">
        <x:v>必去核心</x:v>
      </x:c>
      <x:c r="G24" s="20" t="str">
        <x:v>把抗战陪都放进可步行街区</x:v>
      </x:c>
      <x:c r="H24" s="20" t="str">
        <x:v>历史/国际关系/建筑</x:v>
      </x:c>
      <x:c r="I24" s="24" t="n">
        <x:v>5</x:v>
      </x:c>
      <x:c r="J24" s="24" t="n">
        <x:v>5</x:v>
      </x:c>
      <x:c r="K24" s="24" t="n">
        <x:v>5</x:v>
      </x:c>
      <x:c r="L24" s="24" t="n">
        <x:v>3</x:v>
      </x:c>
      <x:c r="M24" s="24" t="n">
        <x:v>4</x:v>
      </x:c>
      <x:c r="N24" s="27" t="n">
        <x:f>ROUND((I24*'筛选标准'!$B$7+J24*'筛选标准'!$B$8+K24*'筛选标准'!$B$9+L24*'筛选标准'!$B$10+M24*'筛选标准'!$B$11)*20,0)</x:f>
        <x:v>90</x:v>
      </x:c>
      <x:c r="O24" s="24" t="n">
        <x:v>5</x:v>
      </x:c>
      <x:c r="P24" s="24" t="n">
        <x:v>5</x:v>
      </x:c>
      <x:c r="Q24" s="24" t="n">
        <x:v>5</x:v>
      </x:c>
      <x:c r="R24" s="24" t="n">
        <x:v>0</x:v>
      </x:c>
      <x:c r="S24" s="27" t="n">
        <x:f>ROUND((O24*'筛选标准'!$B$14+P24*'筛选标准'!$B$15+Q24*'筛选标准'!$B$16+R24*5*'筛选标准'!$B$17)*20,0)</x:f>
        <x:v>85</x:v>
      </x:c>
      <x:c r="T24" s="24" t="str">
        <x:f>IF(S24&gt;=85,"A",IF(S24&gt;=70,"B",IF(S24&gt;=50,"C","D")))</x:f>
        <x:v>A</x:v>
      </x:c>
      <x:c r="U24" s="20" t="n">
        <x:v>120</x:v>
      </x:c>
      <x:c r="V24" s="20" t="str">
        <x:v>午后</x:v>
      </x:c>
      <x:c r="W24" s="20" t="str">
        <x:v>曾家岩站步行</x:v>
      </x:c>
      <x:c r="X24" s="20" t="str">
        <x:v>场馆开放日不同；英文讲解不稳定</x:v>
      </x:c>
      <x:c r="Y24" s="20" t="str">
        <x:v>小雨可</x:v>
      </x:c>
      <x:c r="Z24" s="20" t="str">
        <x:v>周一闭馆、机关片区管制</x:v>
      </x:c>
      <x:c r="AA24" s="20" t="str">
        <x:v>不是单一政治叙事；讲国共谈判、统一战线、文化人与国际传播</x:v>
      </x:c>
      <x:c r="AB24" s="20" t="str">
        <x:v>比较住宅尺度、街道树荫与战时政治中心功能</x:v>
      </x:c>
      <x:c r="AC24" s="20" t="str">
        <x:v>https://www.cqyz.gov.cn/zjyz/lyyz/rmdkd/202210/t20221005_11164444.html</x:v>
      </x:c>
      <x:c r="AD24" s="20" t="str">
        <x:v>https://www.cqyz.gov.cn/zjyz/lyyz/lswh/lsww/202306/t20230625_12089545.html</x:v>
      </x:c>
      <x:c r="AE24" s="20" t="str">
        <x:v>2026-07-28</x:v>
      </x:c>
      <x:c r="AF24" s="20" t="str">
        <x:v>逐馆核验开放、英文、安检与连线时间</x:v>
      </x:c>
    </x:row>
    <x:row r="25" ht="54" customHeight="1">
      <x:c r="A25" s="20" t="str">
        <x:v>CQ020</x:v>
      </x:c>
      <x:c r="B25" s="20" t="str">
        <x:v>重庆史迪威博物馆</x:v>
      </x:c>
      <x:c r="C25" s="20" t="str">
        <x:v>渝中</x:v>
      </x:c>
      <x:c r="D25" s="20" t="str">
        <x:v>D3世界城市</x:v>
      </x:c>
      <x:c r="E25" s="20" t="str">
        <x:v>二战/国际关系</x:v>
      </x:c>
      <x:c r="F25" s="20" t="str">
        <x:v>深度推荐</x:v>
      </x:c>
      <x:c r="G25" s="20" t="str">
        <x:v>外国游客可进入的中美共同抗战接口</x:v>
      </x:c>
      <x:c r="H25" s="20" t="str">
        <x:v>国际游客/历史/亲子</x:v>
      </x:c>
      <x:c r="I25" s="24" t="n">
        <x:v>5</x:v>
      </x:c>
      <x:c r="J25" s="24" t="n">
        <x:v>5</x:v>
      </x:c>
      <x:c r="K25" s="24" t="n">
        <x:v>4</x:v>
      </x:c>
      <x:c r="L25" s="24" t="n">
        <x:v>4</x:v>
      </x:c>
      <x:c r="M25" s="24" t="n">
        <x:v>4</x:v>
      </x:c>
      <x:c r="N25" s="27" t="n">
        <x:f>ROUND((I25*'筛选标准'!$B$7+J25*'筛选标准'!$B$8+K25*'筛选标准'!$B$9+L25*'筛选标准'!$B$10+M25*'筛选标准'!$B$11)*20,0)</x:f>
        <x:v>90</x:v>
      </x:c>
      <x:c r="O25" s="24" t="n">
        <x:v>5</x:v>
      </x:c>
      <x:c r="P25" s="24" t="n">
        <x:v>5</x:v>
      </x:c>
      <x:c r="Q25" s="24" t="n">
        <x:v>5</x:v>
      </x:c>
      <x:c r="R25" s="24" t="n">
        <x:v>0</x:v>
      </x:c>
      <x:c r="S25" s="27" t="n">
        <x:f>ROUND((O25*'筛选标准'!$B$14+P25*'筛选标准'!$B$15+Q25*'筛选标准'!$B$16+R25*5*'筛选标准'!$B$17)*20,0)</x:f>
        <x:v>85</x:v>
      </x:c>
      <x:c r="T25" s="24" t="str">
        <x:f>IF(S25&gt;=85,"A",IF(S25&gt;=70,"B",IF(S25&gt;=50,"C","D")))</x:f>
        <x:v>A</x:v>
      </x:c>
      <x:c r="U25" s="20" t="n">
        <x:v>75</x:v>
      </x:c>
      <x:c r="V25" s="20" t="str">
        <x:v>下午</x:v>
      </x:c>
      <x:c r="W25" s="20" t="str">
        <x:v>李子坝/佛图关片区</x:v>
      </x:c>
      <x:c r="X25" s="20" t="str">
        <x:v>英文讲解与护照入馆待核验</x:v>
      </x:c>
      <x:c r="Y25" s="20" t="str">
        <x:v>雨天核心</x:v>
      </x:c>
      <x:c r="Z25" s="20" t="str">
        <x:v>周一闭馆、临展变化</x:v>
      </x:c>
      <x:c r="AA25" s="20" t="str">
        <x:v>用史迪威个人经历连接中国战区、飞虎队、滇缅公路和重庆</x:v>
      </x:c>
      <x:c r="AB25" s="20" t="str">
        <x:v>让游客区分旧居、机构史与当代民间外交</x:v>
      </x:c>
      <x:c r="AC25" s="20" t="str">
        <x:v>https://whlyw.cq.gov.cn/hdjl_221/xzzq/202601/t20260115_15320860.html</x:v>
      </x:c>
      <x:c r="AD25" s="20" t="str">
        <x:v>https://www.cq.gov.cn/zwgk/zfxxgkml/zdlyxxgk/ggwh/wh/zxdt/202605/t20260518_15684252.html</x:v>
      </x:c>
      <x:c r="AE25" s="20" t="str">
        <x:v>2026-07-28</x:v>
      </x:c>
      <x:c r="AF25" s="20" t="str">
        <x:v>电话核验英文导览、预约、拍摄</x:v>
      </x:c>
    </x:row>
    <x:row r="26" ht="54" customHeight="1">
      <x:c r="A26" s="20" t="str">
        <x:v>CQ021</x:v>
      </x:c>
      <x:c r="B26" s="20" t="str">
        <x:v>轨道2号线临江门—李子坝乘车体验</x:v>
      </x:c>
      <x:c r="C26" s="20" t="str">
        <x:v>渝中</x:v>
      </x:c>
      <x:c r="D26" s="20" t="str">
        <x:v>D3世界城市</x:v>
      </x:c>
      <x:c r="E26" s="20" t="str">
        <x:v>公共交通</x:v>
      </x:c>
      <x:c r="F26" s="20" t="str">
        <x:v>必去核心</x:v>
      </x:c>
      <x:c r="G26" s="20" t="str">
        <x:v>单轨是交通系统，不只是穿楼照片</x:v>
      </x:c>
      <x:c r="H26" s="20" t="str">
        <x:v>首次来渝/交通/亲子</x:v>
      </x:c>
      <x:c r="I26" s="24" t="n">
        <x:v>5</x:v>
      </x:c>
      <x:c r="J26" s="24" t="n">
        <x:v>5</x:v>
      </x:c>
      <x:c r="K26" s="24" t="n">
        <x:v>5</x:v>
      </x:c>
      <x:c r="L26" s="24" t="n">
        <x:v>5</x:v>
      </x:c>
      <x:c r="M26" s="24" t="n">
        <x:v>4</x:v>
      </x:c>
      <x:c r="N26" s="27" t="n">
        <x:f>ROUND((I26*'筛选标准'!$B$7+J26*'筛选标准'!$B$8+K26*'筛选标准'!$B$9+L26*'筛选标准'!$B$10+M26*'筛选标准'!$B$11)*20,0)</x:f>
        <x:v>98</x:v>
      </x:c>
      <x:c r="O26" s="24" t="n">
        <x:v>5</x:v>
      </x:c>
      <x:c r="P26" s="24" t="n">
        <x:v>5</x:v>
      </x:c>
      <x:c r="Q26" s="24" t="n">
        <x:v>5</x:v>
      </x:c>
      <x:c r="R26" s="24" t="n">
        <x:v>0</x:v>
      </x:c>
      <x:c r="S26" s="27" t="n">
        <x:f>ROUND((O26*'筛选标准'!$B$14+P26*'筛选标准'!$B$15+Q26*'筛选标准'!$B$16+R26*5*'筛选标准'!$B$17)*20,0)</x:f>
        <x:v>85</x:v>
      </x:c>
      <x:c r="T26" s="24" t="str">
        <x:f>IF(S26&gt;=85,"A",IF(S26&gt;=70,"B",IF(S26&gt;=50,"C","D")))</x:f>
        <x:v>A</x:v>
      </x:c>
      <x:c r="U26" s="20" t="n">
        <x:v>35</x:v>
      </x:c>
      <x:c r="V26" s="20" t="str">
        <x:v>避开通勤高峰</x:v>
      </x:c>
      <x:c r="W26" s="20" t="str">
        <x:v>2号线乘坐</x:v>
      </x:c>
      <x:c r="X26" s="20" t="str">
        <x:v>拥挤时站位和方向需提示</x:v>
      </x:c>
      <x:c r="Y26" s="20" t="str">
        <x:v>雨天核心</x:v>
      </x:c>
      <x:c r="Z26" s="20" t="str">
        <x:v>李子坝施工、车厢拥挤</x:v>
      </x:c>
      <x:c r="AA26" s="20" t="str">
        <x:v>解释跨座式单轨如何适应曲线、坡度和密集建成区</x:v>
      </x:c>
      <x:c r="AB26" s="20" t="str">
        <x:v>从车内观察高架、沿江、穿楼和站点高差</x:v>
      </x:c>
      <x:c r="AC26" s="20" t="str">
        <x:v>https://www.cq.gov.cn/ywdt/jrcq/202606/t20260613_15751500.html</x:v>
      </x:c>
      <x:c r="AD26" s="20" t="str">
        <x:v>https://www.cq.gov.cn/ywdt/jrcq/202605/t20260528_15709853.html</x:v>
      </x:c>
      <x:c r="AE26" s="20" t="str">
        <x:v>2026-07-28</x:v>
      </x:c>
      <x:c r="AF26" s="20" t="str">
        <x:v>实测最佳方向、车厢与沿途观察点</x:v>
      </x:c>
    </x:row>
    <x:row r="27" ht="54" customHeight="1">
      <x:c r="A27" s="20" t="str">
        <x:v>CQ022</x:v>
      </x:c>
      <x:c r="B27" s="20" t="str">
        <x:v>李子坝观景台与垂直通道</x:v>
      </x:c>
      <x:c r="C27" s="20" t="str">
        <x:v>渝中</x:v>
      </x:c>
      <x:c r="D27" s="20" t="str">
        <x:v>D3世界城市</x:v>
      </x:c>
      <x:c r="E27" s="20" t="str">
        <x:v>交通景观</x:v>
      </x:c>
      <x:c r="F27" s="20" t="str">
        <x:v>条件推荐</x:v>
      </x:c>
      <x:c r="G27" s="20" t="str">
        <x:v>外部观察但严格限时</x:v>
      </x:c>
      <x:c r="H27" s="20" t="str">
        <x:v>首次来渝/摄影</x:v>
      </x:c>
      <x:c r="I27" s="24" t="n">
        <x:v>4</x:v>
      </x:c>
      <x:c r="J27" s="24" t="n">
        <x:v>3</x:v>
      </x:c>
      <x:c r="K27" s="24" t="n">
        <x:v>5</x:v>
      </x:c>
      <x:c r="L27" s="24" t="n">
        <x:v>5</x:v>
      </x:c>
      <x:c r="M27" s="24" t="n">
        <x:v>2</x:v>
      </x:c>
      <x:c r="N27" s="27" t="n">
        <x:f>ROUND((I27*'筛选标准'!$B$7+J27*'筛选标准'!$B$8+K27*'筛选标准'!$B$9+L27*'筛选标准'!$B$10+M27*'筛选标准'!$B$11)*20,0)</x:f>
        <x:v>79</x:v>
      </x:c>
      <x:c r="O27" s="24" t="n">
        <x:v>5</x:v>
      </x:c>
      <x:c r="P27" s="24" t="n">
        <x:v>5</x:v>
      </x:c>
      <x:c r="Q27" s="24" t="n">
        <x:v>5</x:v>
      </x:c>
      <x:c r="R27" s="24" t="n">
        <x:v>0</x:v>
      </x:c>
      <x:c r="S27" s="27" t="n">
        <x:f>ROUND((O27*'筛选标准'!$B$14+P27*'筛选标准'!$B$15+Q27*'筛选标准'!$B$16+R27*5*'筛选标准'!$B$17)*20,0)</x:f>
        <x:v>85</x:v>
      </x:c>
      <x:c r="T27" s="24" t="str">
        <x:f>IF(S27&gt;=85,"A",IF(S27&gt;=70,"B",IF(S27&gt;=50,"C","D")))</x:f>
        <x:v>A</x:v>
      </x:c>
      <x:c r="U27" s="20" t="n">
        <x:v>25</x:v>
      </x:c>
      <x:c r="V27" s="20" t="str">
        <x:v>非高峰</x:v>
      </x:c>
      <x:c r="W27" s="20" t="str">
        <x:v>李子坝站</x:v>
      </x:c>
      <x:c r="X27" s="20" t="str">
        <x:v>2026年施工分区改变动线</x:v>
      </x:c>
      <x:c r="Y27" s="20" t="str">
        <x:v>雨天可从站内看</x:v>
      </x:c>
      <x:c r="Z27" s="20" t="str">
        <x:v>施工至2026-12-30、客流过载</x:v>
      </x:c>
      <x:c r="AA27" s="20" t="str">
        <x:v>不把观景台当完整体验；它只是验证列车与住宅空间关系</x:v>
      </x:c>
      <x:c r="AB27" s="20" t="str">
        <x:v>比较站内、站外和上层道路三个地面</x:v>
      </x:c>
      <x:c r="AC27" s="20" t="str">
        <x:v>https://www.cq.gov.cn/ywdt/jrcq/202606/t20260613_15751500.html</x:v>
      </x:c>
      <x:c r="AD27" s="20" t="str">
        <x:v>https://www.cq.gov.cn/ywdt/jrcq/202605/t20260528_15709853.html</x:v>
      </x:c>
      <x:c r="AE27" s="20" t="str">
        <x:v>2026-07-28</x:v>
      </x:c>
      <x:c r="AF27" s="20" t="str">
        <x:v>每月复核施工、出入口和扶梯开放</x:v>
      </x:c>
    </x:row>
    <x:row r="28" ht="54" customHeight="1">
      <x:c r="A28" s="20" t="str">
        <x:v>CQ023</x:v>
      </x:c>
      <x:c r="B28" s="20" t="str">
        <x:v>鹅岭公园与瞰胜楼</x:v>
      </x:c>
      <x:c r="C28" s="20" t="str">
        <x:v>渝中</x:v>
      </x:c>
      <x:c r="D28" s="20" t="str">
        <x:v>D3世界城市</x:v>
      </x:c>
      <x:c r="E28" s="20" t="str">
        <x:v>公园/城市眺望</x:v>
      </x:c>
      <x:c r="F28" s="20" t="str">
        <x:v>深度推荐</x:v>
      </x:c>
      <x:c r="G28" s="20" t="str">
        <x:v>在高点复盘两江与半岛</x:v>
      </x:c>
      <x:c r="H28" s="20" t="str">
        <x:v>城市观察/摄影/本地生活</x:v>
      </x:c>
      <x:c r="I28" s="24" t="n">
        <x:v>4</x:v>
      </x:c>
      <x:c r="J28" s="24" t="n">
        <x:v>4</x:v>
      </x:c>
      <x:c r="K28" s="24" t="n">
        <x:v>4</x:v>
      </x:c>
      <x:c r="L28" s="24" t="n">
        <x:v>4</x:v>
      </x:c>
      <x:c r="M28" s="24" t="n">
        <x:v>4</x:v>
      </x:c>
      <x:c r="N28" s="27" t="n">
        <x:f>ROUND((I28*'筛选标准'!$B$7+J28*'筛选标准'!$B$8+K28*'筛选标准'!$B$9+L28*'筛选标准'!$B$10+M28*'筛选标准'!$B$11)*20,0)</x:f>
        <x:v>80</x:v>
      </x:c>
      <x:c r="O28" s="24" t="n">
        <x:v>4</x:v>
      </x:c>
      <x:c r="P28" s="24" t="n">
        <x:v>4</x:v>
      </x:c>
      <x:c r="Q28" s="24" t="n">
        <x:v>4</x:v>
      </x:c>
      <x:c r="R28" s="24" t="n">
        <x:v>0</x:v>
      </x:c>
      <x:c r="S28" s="27" t="n">
        <x:f>ROUND((O28*'筛选标准'!$B$14+P28*'筛选标准'!$B$15+Q28*'筛选标准'!$B$16+R28*5*'筛选标准'!$B$17)*20,0)</x:f>
        <x:v>68</x:v>
      </x:c>
      <x:c r="T28" s="24" t="str">
        <x:f>IF(S28&gt;=85,"A",IF(S28&gt;=70,"B",IF(S28&gt;=50,"C","D")))</x:f>
        <x:v>C</x:v>
      </x:c>
      <x:c r="U28" s="20" t="n">
        <x:v>75</x:v>
      </x:c>
      <x:c r="V28" s="20" t="str">
        <x:v>日落前</x:v>
      </x:c>
      <x:c r="W28" s="20" t="str">
        <x:v>鹅岭站步行</x:v>
      </x:c>
      <x:c r="X28" s="20" t="str">
        <x:v>塔楼开放与能见度不稳定</x:v>
      </x:c>
      <x:c r="Y28" s="20" t="str">
        <x:v>大雨改室内</x:v>
      </x:c>
      <x:c r="Z28" s="20" t="str">
        <x:v>坡道、雾霾、活动</x:v>
      </x:c>
      <x:c r="AA28" s="20" t="str">
        <x:v>把观景从“拍夜景”转成城市读图与本地公园生活</x:v>
      </x:c>
      <x:c r="AB28" s="20" t="str">
        <x:v>从高点指出两江、山脊和交通走廊</x:v>
      </x:c>
      <x:c r="AC28" s="20" t="str">
        <x:v>https://ghzrzyj.cq.gov.cn/ztlm_186/ghgb/zxgh/202507/P020250716371670706300.pdf</x:v>
      </x:c>
      <x:c r="AD28" s="20" t="str">
        <x:v>https://www.reddit.com/r/travelchina/comments/1o74mfa/trip_report_for_chongqing_4_night_stay/</x:v>
      </x:c>
      <x:c r="AE28" s="20" t="str">
        <x:v>2026-07-28</x:v>
      </x:c>
      <x:c r="AF28" s="20" t="str">
        <x:v>核验瞰胜楼开放、座椅、最佳时段</x:v>
      </x:c>
    </x:row>
    <x:row r="29" ht="54" customHeight="1">
      <x:c r="A29" s="20" t="str">
        <x:v>CQ024</x:v>
      </x:c>
      <x:c r="B29" s="20" t="str">
        <x:v>鹅岭二厂（TESTBED2）</x:v>
      </x:c>
      <x:c r="C29" s="20" t="str">
        <x:v>渝中</x:v>
      </x:c>
      <x:c r="D29" s="20" t="str">
        <x:v>D3世界城市</x:v>
      </x:c>
      <x:c r="E29" s="20" t="str">
        <x:v>工业更新/商业</x:v>
      </x:c>
      <x:c r="F29" s="20" t="str">
        <x:v>只顺路</x:v>
      </x:c>
      <x:c r="G29" s="20" t="str">
        <x:v>工业遗产更新对比样本</x:v>
      </x:c>
      <x:c r="H29" s="20" t="str">
        <x:v>摄影/年轻游客</x:v>
      </x:c>
      <x:c r="I29" s="24" t="n">
        <x:v>3</x:v>
      </x:c>
      <x:c r="J29" s="24" t="n">
        <x:v>3</x:v>
      </x:c>
      <x:c r="K29" s="24" t="n">
        <x:v>4</x:v>
      </x:c>
      <x:c r="L29" s="24" t="n">
        <x:v>5</x:v>
      </x:c>
      <x:c r="M29" s="24" t="n">
        <x:v>3</x:v>
      </x:c>
      <x:c r="N29" s="27" t="n">
        <x:f>ROUND((I29*'筛选标准'!$B$7+J29*'筛选标准'!$B$8+K29*'筛选标准'!$B$9+L29*'筛选标准'!$B$10+M29*'筛选标准'!$B$11)*20,0)</x:f>
        <x:v>72</x:v>
      </x:c>
      <x:c r="O29" s="24" t="n">
        <x:v>3</x:v>
      </x:c>
      <x:c r="P29" s="24" t="n">
        <x:v>4</x:v>
      </x:c>
      <x:c r="Q29" s="24" t="n">
        <x:v>4</x:v>
      </x:c>
      <x:c r="R29" s="24" t="n">
        <x:v>0</x:v>
      </x:c>
      <x:c r="S29" s="27" t="n">
        <x:f>ROUND((O29*'筛选标准'!$B$14+P29*'筛选标准'!$B$15+Q29*'筛选标准'!$B$16+R29*5*'筛选标准'!$B$17)*20,0)</x:f>
        <x:v>60</x:v>
      </x:c>
      <x:c r="T29" s="24" t="str">
        <x:f>IF(S29&gt;=85,"A",IF(S29&gt;=70,"B",IF(S29&gt;=50,"C","D")))</x:f>
        <x:v>C</x:v>
      </x:c>
      <x:c r="U29" s="20" t="n">
        <x:v>30</x:v>
      </x:c>
      <x:c r="V29" s="20" t="str">
        <x:v>工作日下午</x:v>
      </x:c>
      <x:c r="W29" s="20" t="str">
        <x:v>鹅岭公园步行</x:v>
      </x:c>
      <x:c r="X29" s="20" t="str">
        <x:v>商户英语不稳定</x:v>
      </x:c>
      <x:c r="Y29" s="20" t="str">
        <x:v>雨天可</x:v>
      </x:c>
      <x:c r="Z29" s="20" t="str">
        <x:v>商业同质、活动噪音</x:v>
      </x:c>
      <x:c r="AA29" s="20" t="str">
        <x:v>不包装成独特文化地标；只讨论旧印刷厂如何被消费化</x:v>
      </x:c>
      <x:c r="AB29" s="20" t="str">
        <x:v>找仍可读出的工业尺度、材料与新商业插入</x:v>
      </x:c>
      <x:c r="AC29" s="20" t="str">
        <x:v>https://ghzrzyj.cq.gov.cn/bsfw_186/dtfw/mzyt/202511/t20251124_15184222_wap.html</x:v>
      </x:c>
      <x:c r="AD29" s="20" t="str">
        <x:v>https://eprints.whiterose.ac.uk/id/eprint/185301/</x:v>
      </x:c>
      <x:c r="AE29" s="20" t="str">
        <x:v>2026-07-28</x:v>
      </x:c>
      <x:c r="AF29" s="20" t="str">
        <x:v>判断是否值得保留在主城产品</x:v>
      </x:c>
    </x:row>
    <x:row r="30" ht="54" customHeight="1">
      <x:c r="A30" s="20" t="str">
        <x:v>CQ025</x:v>
      </x:c>
      <x:c r="B30" s="20" t="str">
        <x:v>重庆开埠遗址公园</x:v>
      </x:c>
      <x:c r="C30" s="20" t="str">
        <x:v>南岸</x:v>
      </x:c>
      <x:c r="D30" s="20" t="str">
        <x:v>D4A开埠山路</x:v>
      </x:c>
      <x:c r="E30" s="20" t="str">
        <x:v>开埠史/建筑</x:v>
      </x:c>
      <x:c r="F30" s="20" t="str">
        <x:v>必去核心</x:v>
      </x:c>
      <x:c r="G30" s="20" t="str">
        <x:v>把1891年开埠落到真实建筑群</x:v>
      </x:c>
      <x:c r="H30" s="20" t="str">
        <x:v>历史/建筑/国际游客</x:v>
      </x:c>
      <x:c r="I30" s="24" t="n">
        <x:v>5</x:v>
      </x:c>
      <x:c r="J30" s="24" t="n">
        <x:v>5</x:v>
      </x:c>
      <x:c r="K30" s="24" t="n">
        <x:v>5</x:v>
      </x:c>
      <x:c r="L30" s="24" t="n">
        <x:v>4</x:v>
      </x:c>
      <x:c r="M30" s="24" t="n">
        <x:v>4</x:v>
      </x:c>
      <x:c r="N30" s="27" t="n">
        <x:f>ROUND((I30*'筛选标准'!$B$7+J30*'筛选标准'!$B$8+K30*'筛选标准'!$B$9+L30*'筛选标准'!$B$10+M30*'筛选标准'!$B$11)*20,0)</x:f>
        <x:v>94</x:v>
      </x:c>
      <x:c r="O30" s="24" t="n">
        <x:v>5</x:v>
      </x:c>
      <x:c r="P30" s="24" t="n">
        <x:v>5</x:v>
      </x:c>
      <x:c r="Q30" s="24" t="n">
        <x:v>5</x:v>
      </x:c>
      <x:c r="R30" s="24" t="n">
        <x:v>0</x:v>
      </x:c>
      <x:c r="S30" s="27" t="n">
        <x:f>ROUND((O30*'筛选标准'!$B$14+P30*'筛选标准'!$B$15+Q30*'筛选标准'!$B$16+R30*5*'筛选标准'!$B$17)*20,0)</x:f>
        <x:v>85</x:v>
      </x:c>
      <x:c r="T30" s="24" t="str">
        <x:f>IF(S30&gt;=85,"A",IF(S30&gt;=70,"B",IF(S30&gt;=50,"C","D")))</x:f>
        <x:v>A</x:v>
      </x:c>
      <x:c r="U30" s="20" t="n">
        <x:v>90</x:v>
      </x:c>
      <x:c r="V30" s="20" t="str">
        <x:v>上午</x:v>
      </x:c>
      <x:c r="W30" s="20" t="str">
        <x:v>上新街/短程车</x:v>
      </x:c>
      <x:c r="X30" s="20" t="str">
        <x:v>展陈英文覆盖待核验</x:v>
      </x:c>
      <x:c r="Y30" s="20" t="str">
        <x:v>雨天部分可</x:v>
      </x:c>
      <x:c r="Z30" s="20" t="str">
        <x:v>活动、展馆开放变化</x:v>
      </x:c>
      <x:c r="AA30" s="20" t="str">
        <x:v>讲川江航运、洋行、领馆与城市对外开放，不把开埠浪漫化</x:v>
      </x:c>
      <x:c r="AB30" s="20" t="str">
        <x:v>辨认立德乐洋行等旧址与长江航道关系</x:v>
      </x:c>
      <x:c r="AC30" s="20" t="str">
        <x:v>https://www.cq.gov.cn/ywdt/zwhd/bmdt/202511/t20251113_15160016.html</x:v>
      </x:c>
      <x:c r="AD30" s="20" t="str">
        <x:v>https://www.cq.gov.cn/ywdt/jrcq/202605/t20260506_15650945.html</x:v>
      </x:c>
      <x:c r="AE30" s="20" t="str">
        <x:v>2026-07-28</x:v>
      </x:c>
      <x:c r="AF30" s="20" t="str">
        <x:v>核验展馆、英文、开放建筑与路线</x:v>
      </x:c>
    </x:row>
    <x:row r="31" ht="54" customHeight="1">
      <x:c r="A31" s="20" t="str">
        <x:v>CQ026</x:v>
      </x:c>
      <x:c r="B31" s="20" t="str">
        <x:v>龙门浩—下浩里</x:v>
      </x:c>
      <x:c r="C31" s="20" t="str">
        <x:v>南岸</x:v>
      </x:c>
      <x:c r="D31" s="20" t="str">
        <x:v>D4A开埠山路</x:v>
      </x:c>
      <x:c r="E31" s="20" t="str">
        <x:v>历史街区/更新</x:v>
      </x:c>
      <x:c r="F31" s="20" t="str">
        <x:v>深度推荐</x:v>
      </x:c>
      <x:c r="G31" s="20" t="str">
        <x:v>开埠、街巷与更新的收束</x:v>
      </x:c>
      <x:c r="H31" s="20" t="str">
        <x:v>城市史/建筑/摄影</x:v>
      </x:c>
      <x:c r="I31" s="24" t="n">
        <x:v>5</x:v>
      </x:c>
      <x:c r="J31" s="24" t="n">
        <x:v>4</x:v>
      </x:c>
      <x:c r="K31" s="24" t="n">
        <x:v>5</x:v>
      </x:c>
      <x:c r="L31" s="24" t="n">
        <x:v>4</x:v>
      </x:c>
      <x:c r="M31" s="24" t="n">
        <x:v>3</x:v>
      </x:c>
      <x:c r="N31" s="27" t="n">
        <x:f>ROUND((I31*'筛选标准'!$B$7+J31*'筛选标准'!$B$8+K31*'筛选标准'!$B$9+L31*'筛选标准'!$B$10+M31*'筛选标准'!$B$11)*20,0)</x:f>
        <x:v>87</x:v>
      </x:c>
      <x:c r="O31" s="24" t="n">
        <x:v>5</x:v>
      </x:c>
      <x:c r="P31" s="24" t="n">
        <x:v>5</x:v>
      </x:c>
      <x:c r="Q31" s="24" t="n">
        <x:v>5</x:v>
      </x:c>
      <x:c r="R31" s="24" t="n">
        <x:v>0</x:v>
      </x:c>
      <x:c r="S31" s="27" t="n">
        <x:f>ROUND((O31*'筛选标准'!$B$14+P31*'筛选标准'!$B$15+Q31*'筛选标准'!$B$16+R31*5*'筛选标准'!$B$17)*20,0)</x:f>
        <x:v>85</x:v>
      </x:c>
      <x:c r="T31" s="24" t="str">
        <x:f>IF(S31&gt;=85,"A",IF(S31&gt;=70,"B",IF(S31&gt;=50,"C","D")))</x:f>
        <x:v>A</x:v>
      </x:c>
      <x:c r="U31" s="20" t="n">
        <x:v>120</x:v>
      </x:c>
      <x:c r="V31" s="20" t="str">
        <x:v>日落前后</x:v>
      </x:c>
      <x:c r="W31" s="20" t="str">
        <x:v>上新街站步行</x:v>
      </x:c>
      <x:c r="X31" s="20" t="str">
        <x:v>台阶和入口层级</x:v>
      </x:c>
      <x:c r="Y31" s="20" t="str">
        <x:v>低体力只走龙门浩上层</x:v>
      </x:c>
      <x:c r="Z31" s="20" t="str">
        <x:v>商业化、节假日大客流</x:v>
      </x:c>
      <x:c r="AA31" s="20" t="str">
        <x:v>与十八梯对照：同为更新街区，但历史环境和江岸关系不同</x:v>
      </x:c>
      <x:c r="AB31" s="20" t="str">
        <x:v>比较保留建筑、修复立面、新商业与居民空间</x:v>
      </x:c>
      <x:c r="AC31" s="20" t="str">
        <x:v>https://www.cq.gov.cn/ywdt/zwhd/bmdt/202511/t20251113_15160016.html</x:v>
      </x:c>
      <x:c r="AD31" s="20" t="str">
        <x:v>https://ghzrzyj.cq.gov.cn/bsfw_186/dtfw/mzyt/202511/t20251124_15184222_wap.html</x:v>
      </x:c>
      <x:c r="AE31" s="20" t="str">
        <x:v>2026-07-28</x:v>
      </x:c>
      <x:c r="AF31" s="20" t="str">
        <x:v>实走上下层、低体力入口和夜间返程</x:v>
      </x:c>
    </x:row>
    <x:row r="32" ht="54" customHeight="1">
      <x:c r="A32" s="20" t="str">
        <x:v>CQ027</x:v>
      </x:c>
      <x:c r="B32" s="20" t="str">
        <x:v>黄葛古道</x:v>
      </x:c>
      <x:c r="C32" s="20" t="str">
        <x:v>南岸</x:v>
      </x:c>
      <x:c r="D32" s="20" t="str">
        <x:v>D4A开埠山路</x:v>
      </x:c>
      <x:c r="E32" s="20" t="str">
        <x:v>古道/山地步行</x:v>
      </x:c>
      <x:c r="F32" s="20" t="str">
        <x:v>深度推荐</x:v>
      </x:c>
      <x:c r="G32" s="20" t="str">
        <x:v>山地交通与日常路径的长距离体验</x:v>
      </x:c>
      <x:c r="H32" s="20" t="str">
        <x:v>背包客/徒步/城市观察</x:v>
      </x:c>
      <x:c r="I32" s="24" t="n">
        <x:v>5</x:v>
      </x:c>
      <x:c r="J32" s="24" t="n">
        <x:v>5</x:v>
      </x:c>
      <x:c r="K32" s="24" t="n">
        <x:v>4</x:v>
      </x:c>
      <x:c r="L32" s="24" t="n">
        <x:v>2</x:v>
      </x:c>
      <x:c r="M32" s="24" t="n">
        <x:v>2</x:v>
      </x:c>
      <x:c r="N32" s="27" t="n">
        <x:f>ROUND((I32*'筛选标准'!$B$7+J32*'筛选标准'!$B$8+K32*'筛选标准'!$B$9+L32*'筛选标准'!$B$10+M32*'筛选标准'!$B$11)*20,0)</x:f>
        <x:v>78</x:v>
      </x:c>
      <x:c r="O32" s="24" t="n">
        <x:v>5</x:v>
      </x:c>
      <x:c r="P32" s="24" t="n">
        <x:v>4</x:v>
      </x:c>
      <x:c r="Q32" s="24" t="n">
        <x:v>4</x:v>
      </x:c>
      <x:c r="R32" s="24" t="n">
        <x:v>0</x:v>
      </x:c>
      <x:c r="S32" s="27" t="n">
        <x:f>ROUND((O32*'筛选标准'!$B$14+P32*'筛选标准'!$B$15+Q32*'筛选标准'!$B$16+R32*5*'筛选标准'!$B$17)*20,0)</x:f>
        <x:v>76</x:v>
      </x:c>
      <x:c r="T32" s="24" t="str">
        <x:f>IF(S32&gt;=85,"A",IF(S32&gt;=70,"B",IF(S32&gt;=50,"C","D")))</x:f>
        <x:v>B</x:v>
      </x:c>
      <x:c r="U32" s="20" t="n">
        <x:v>150</x:v>
      </x:c>
      <x:c r="V32" s="20" t="str">
        <x:v>凉季上午/夏季清晨</x:v>
      </x:c>
      <x:c r="W32" s="20" t="str">
        <x:v>上新街向黄桷垭上行或反向</x:v>
      </x:c>
      <x:c r="X32" s="20" t="str">
        <x:v>连续爬升、英语和补给不足</x:v>
      </x:c>
      <x:c r="Y32" s="20" t="str">
        <x:v>低体力删除</x:v>
      </x:c>
      <x:c r="Z32" s="20" t="str">
        <x:v>高温、湿滑、体力透支</x:v>
      </x:c>
      <x:c r="AA32" s="20" t="str">
        <x:v>把古道视为运输与聚落路径，不只是一段绿荫</x:v>
      </x:c>
      <x:c r="AB32" s="20" t="str">
        <x:v>记录路面、节点、树荫、居民使用和坡度变化</x:v>
      </x:c>
      <x:c r="AC32" s="20" t="str">
        <x:v>https://www.cq.gov.cn/zwgk/zfxxgkml/zdlyxxgk/ggwh/ly/zxdt/202511/t20251107_15146900.html</x:v>
      </x:c>
      <x:c r="AD32" s="20" t="str">
        <x:v>https://www.shplanning.com.cn/archive/download/id/487.html</x:v>
      </x:c>
      <x:c r="AE32" s="20" t="str">
        <x:v>2026-07-28</x:v>
      </x:c>
      <x:c r="AF32" s="20" t="str">
        <x:v>完整实走：方向、坡度、补水、厕所、退出点</x:v>
      </x:c>
    </x:row>
    <x:row r="33" ht="54" customHeight="1">
      <x:c r="A33" s="20" t="str">
        <x:v>CQ028</x:v>
      </x:c>
      <x:c r="B33" s="20" t="str">
        <x:v>黄桷垭老街</x:v>
      </x:c>
      <x:c r="C33" s="20" t="str">
        <x:v>南岸</x:v>
      </x:c>
      <x:c r="D33" s="20" t="str">
        <x:v>D4A开埠山路</x:v>
      </x:c>
      <x:c r="E33" s="20" t="str">
        <x:v>山上聚落/老街</x:v>
      </x:c>
      <x:c r="F33" s="20" t="str">
        <x:v>条件推荐</x:v>
      </x:c>
      <x:c r="G33" s="20" t="str">
        <x:v>黄葛古道恢复节点</x:v>
      </x:c>
      <x:c r="H33" s="20" t="str">
        <x:v>徒步/慢旅行</x:v>
      </x:c>
      <x:c r="I33" s="24" t="n">
        <x:v>4</x:v>
      </x:c>
      <x:c r="J33" s="24" t="n">
        <x:v>4</x:v>
      </x:c>
      <x:c r="K33" s="24" t="n">
        <x:v>4</x:v>
      </x:c>
      <x:c r="L33" s="24" t="n">
        <x:v>3</x:v>
      </x:c>
      <x:c r="M33" s="24" t="n">
        <x:v>4</x:v>
      </x:c>
      <x:c r="N33" s="27" t="n">
        <x:f>ROUND((I33*'筛选标准'!$B$7+J33*'筛选标准'!$B$8+K33*'筛选标准'!$B$9+L33*'筛选标准'!$B$10+M33*'筛选标准'!$B$11)*20,0)</x:f>
        <x:v>76</x:v>
      </x:c>
      <x:c r="O33" s="24" t="n">
        <x:v>4</x:v>
      </x:c>
      <x:c r="P33" s="24" t="n">
        <x:v>3</x:v>
      </x:c>
      <x:c r="Q33" s="24" t="n">
        <x:v>4</x:v>
      </x:c>
      <x:c r="R33" s="24" t="n">
        <x:v>0</x:v>
      </x:c>
      <x:c r="S33" s="27" t="n">
        <x:f>ROUND((O33*'筛选标准'!$B$14+P33*'筛选标准'!$B$15+Q33*'筛选标准'!$B$16+R33*5*'筛选标准'!$B$17)*20,0)</x:f>
        <x:v>63</x:v>
      </x:c>
      <x:c r="T33" s="24" t="str">
        <x:f>IF(S33&gt;=85,"A",IF(S33&gt;=70,"B",IF(S33&gt;=50,"C","D")))</x:f>
        <x:v>C</x:v>
      </x:c>
      <x:c r="U33" s="20" t="n">
        <x:v>60</x:v>
      </x:c>
      <x:c r="V33" s="20" t="str">
        <x:v>午间</x:v>
      </x:c>
      <x:c r="W33" s="20" t="str">
        <x:v>古道上端</x:v>
      </x:c>
      <x:c r="X33" s="20" t="str">
        <x:v>英语不稳定</x:v>
      </x:c>
      <x:c r="Y33" s="20" t="str">
        <x:v>雨天可</x:v>
      </x:c>
      <x:c r="Z33" s="20" t="str">
        <x:v>商业化、餐饮质量</x:v>
      </x:c>
      <x:c r="AA33" s="20" t="str">
        <x:v>不要再堆“古街”；讲山口聚落如何服务往来人群</x:v>
      </x:c>
      <x:c r="AB33" s="20" t="str">
        <x:v>观察地名、街巷尺度和补给功能</x:v>
      </x:c>
      <x:c r="AC33" s="20" t="str">
        <x:v>https://www.cq.gov.cn/zwgk/zfxxgkml/zdlyxxgk/ggwh/ly/zxdt/202511/t20251107_15146900.html</x:v>
      </x:c>
      <x:c r="AD33" s="20" t="str">
        <x:v>https://ghzrzyj.cq.gov.cn/bsfw_186/dtfw/mzyt/202511/t20251124_15184222_wap.html</x:v>
      </x:c>
      <x:c r="AE33" s="20" t="str">
        <x:v>2026-07-28</x:v>
      </x:c>
      <x:c r="AF33" s="20" t="str">
        <x:v>核验午餐、休息、返程交通</x:v>
      </x:c>
    </x:row>
    <x:row r="34" ht="54" customHeight="1">
      <x:c r="A34" s="20" t="str">
        <x:v>CQ029</x:v>
      </x:c>
      <x:c r="B34" s="20" t="str">
        <x:v>黄桷坪涂鸦街与川美旧校区周边</x:v>
      </x:c>
      <x:c r="C34" s="20" t="str">
        <x:v>九龙坡</x:v>
      </x:c>
      <x:c r="D34" s="20" t="str">
        <x:v>D4B工业艺术</x:v>
      </x:c>
      <x:c r="E34" s="20" t="str">
        <x:v>艺术社区</x:v>
      </x:c>
      <x:c r="F34" s="20" t="str">
        <x:v>深度推荐</x:v>
      </x:c>
      <x:c r="G34" s="20" t="str">
        <x:v>学院艺术如何进入社区表面</x:v>
      </x:c>
      <x:c r="H34" s="20" t="str">
        <x:v>艺术/摄影/年轻游客</x:v>
      </x:c>
      <x:c r="I34" s="24" t="n">
        <x:v>4</x:v>
      </x:c>
      <x:c r="J34" s="24" t="n">
        <x:v>4</x:v>
      </x:c>
      <x:c r="K34" s="24" t="n">
        <x:v>5</x:v>
      </x:c>
      <x:c r="L34" s="24" t="n">
        <x:v>3</x:v>
      </x:c>
      <x:c r="M34" s="24" t="n">
        <x:v>4</x:v>
      </x:c>
      <x:c r="N34" s="27" t="n">
        <x:f>ROUND((I34*'筛选标准'!$B$7+J34*'筛选标准'!$B$8+K34*'筛选标准'!$B$9+L34*'筛选标准'!$B$10+M34*'筛选标准'!$B$11)*20,0)</x:f>
        <x:v>80</x:v>
      </x:c>
      <x:c r="O34" s="24" t="n">
        <x:v>5</x:v>
      </x:c>
      <x:c r="P34" s="24" t="n">
        <x:v>4</x:v>
      </x:c>
      <x:c r="Q34" s="24" t="n">
        <x:v>4</x:v>
      </x:c>
      <x:c r="R34" s="24" t="n">
        <x:v>0</x:v>
      </x:c>
      <x:c r="S34" s="27" t="n">
        <x:f>ROUND((O34*'筛选标准'!$B$14+P34*'筛选标准'!$B$15+Q34*'筛选标准'!$B$16+R34*5*'筛选标准'!$B$17)*20,0)</x:f>
        <x:v>76</x:v>
      </x:c>
      <x:c r="T34" s="24" t="str">
        <x:f>IF(S34&gt;=85,"A",IF(S34&gt;=70,"B",IF(S34&gt;=50,"C","D")))</x:f>
        <x:v>B</x:v>
      </x:c>
      <x:c r="U34" s="20" t="n">
        <x:v>90</x:v>
      </x:c>
      <x:c r="V34" s="20" t="str">
        <x:v>工作日上午</x:v>
      </x:c>
      <x:c r="W34" s="20" t="str">
        <x:v>杨家坪/短程车</x:v>
      </x:c>
      <x:c r="X34" s="20" t="str">
        <x:v>校园开放边界与英文服务</x:v>
      </x:c>
      <x:c r="Y34" s="20" t="str">
        <x:v>小雨可</x:v>
      </x:c>
      <x:c r="Z34" s="20" t="str">
        <x:v>内容老化、校园限制</x:v>
      </x:c>
      <x:c r="AA34" s="20" t="str">
        <x:v>不把每面墙当艺术；讲学院、社区更新和公共空间之间的关系</x:v>
      </x:c>
      <x:c r="AB34" s="20" t="str">
        <x:v>区分官方项目、自然老化与商业二次利用</x:v>
      </x:c>
      <x:c r="AC34" s="20" t="str">
        <x:v>https://mzj.cq.gov.cn/sy_218/bmdt/mzyw/t_14233171.html</x:v>
      </x:c>
      <x:c r="AD34" s="20" t="str">
        <x:v>https://ghzrzyj.cq.gov.cn/bsfw_186/dtfw/mzyt/202511/t20251124_15184222_wap.html</x:v>
      </x:c>
      <x:c r="AE34" s="20" t="str">
        <x:v>2026-07-28</x:v>
      </x:c>
      <x:c r="AF34" s="20" t="str">
        <x:v>核验校园边界、展览和最新墙面</x:v>
      </x:c>
    </x:row>
    <x:row r="35" ht="54" customHeight="1">
      <x:c r="A35" s="20" t="str">
        <x:v>CQ030</x:v>
      </x:c>
      <x:c r="B35" s="20" t="str">
        <x:v>交通茶馆</x:v>
      </x:c>
      <x:c r="C35" s="20" t="str">
        <x:v>九龙坡</x:v>
      </x:c>
      <x:c r="D35" s="20" t="str">
        <x:v>D4B工业艺术</x:v>
      </x:c>
      <x:c r="E35" s="20" t="str">
        <x:v>茶馆/社会空间</x:v>
      </x:c>
      <x:c r="F35" s="20" t="str">
        <x:v>条件推荐</x:v>
      </x:c>
      <x:c r="G35" s="20" t="str">
        <x:v>真实社会空间但旅游化明显</x:v>
      </x:c>
      <x:c r="H35" s="20" t="str">
        <x:v>文化/摄影/慢旅行</x:v>
      </x:c>
      <x:c r="I35" s="24" t="n">
        <x:v>5</x:v>
      </x:c>
      <x:c r="J35" s="24" t="n">
        <x:v>5</x:v>
      </x:c>
      <x:c r="K35" s="24" t="n">
        <x:v>5</x:v>
      </x:c>
      <x:c r="L35" s="24" t="n">
        <x:v>2</x:v>
      </x:c>
      <x:c r="M35" s="24" t="n">
        <x:v>2</x:v>
      </x:c>
      <x:c r="N35" s="27" t="n">
        <x:f>ROUND((I35*'筛选标准'!$B$7+J35*'筛选标准'!$B$8+K35*'筛选标准'!$B$9+L35*'筛选标准'!$B$10+M35*'筛选标准'!$B$11)*20,0)</x:f>
        <x:v>82</x:v>
      </x:c>
      <x:c r="O35" s="24" t="n">
        <x:v>4</x:v>
      </x:c>
      <x:c r="P35" s="24" t="n">
        <x:v>4</x:v>
      </x:c>
      <x:c r="Q35" s="24" t="n">
        <x:v>4</x:v>
      </x:c>
      <x:c r="R35" s="24" t="n">
        <x:v>0</x:v>
      </x:c>
      <x:c r="S35" s="27" t="n">
        <x:f>ROUND((O35*'筛选标准'!$B$14+P35*'筛选标准'!$B$15+Q35*'筛选标准'!$B$16+R35*5*'筛选标准'!$B$17)*20,0)</x:f>
        <x:v>68</x:v>
      </x:c>
      <x:c r="T35" s="24" t="str">
        <x:f>IF(S35&gt;=85,"A",IF(S35&gt;=70,"B",IF(S35&gt;=50,"C","D")))</x:f>
        <x:v>C</x:v>
      </x:c>
      <x:c r="U35" s="20" t="n">
        <x:v>45</x:v>
      </x:c>
      <x:c r="V35" s="20" t="str">
        <x:v>工作日上午</x:v>
      </x:c>
      <x:c r="W35" s="20" t="str">
        <x:v>黄桷坪步行</x:v>
      </x:c>
      <x:c r="X35" s="20" t="str">
        <x:v>无稳定英语；拍摄伦理</x:v>
      </x:c>
      <x:c r="Y35" s="20" t="str">
        <x:v>雨天核心</x:v>
      </x:c>
      <x:c r="Z35" s="20" t="str">
        <x:v>扰民、摆拍、座位冲突</x:v>
      </x:c>
      <x:c r="AA35" s="20" t="str">
        <x:v>从“老重庆滤镜”转向座位、熟客、消费和摄影权的社会规则</x:v>
      </x:c>
      <x:c r="AB35" s="20" t="str">
        <x:v>先喝茶再观察；未经同意不近距离拍人</x:v>
      </x:c>
      <x:c r="AC35" s="20" t="str">
        <x:v>https://mzj.cq.gov.cn/sy_218/bmdt/mzyw/t_14233171.html</x:v>
      </x:c>
      <x:c r="AD35" s="20" t="str">
        <x:v>https://eprints.whiterose.ac.uk/id/eprint/185301/</x:v>
      </x:c>
      <x:c r="AE35" s="20" t="str">
        <x:v>2026-07-28</x:v>
      </x:c>
      <x:c r="AF35" s="20" t="str">
        <x:v>与店方核验拍摄、团队人数、英文接待</x:v>
      </x:c>
    </x:row>
    <x:row r="36" ht="54" customHeight="1">
      <x:c r="A36" s="20" t="str">
        <x:v>CQ031</x:v>
      </x:c>
      <x:c r="B36" s="20" t="str">
        <x:v>四川美术学院黄桷坪校区周边</x:v>
      </x:c>
      <x:c r="C36" s="20" t="str">
        <x:v>九龙坡</x:v>
      </x:c>
      <x:c r="D36" s="20" t="str">
        <x:v>D4B工业艺术</x:v>
      </x:c>
      <x:c r="E36" s="20" t="str">
        <x:v>学院/展览</x:v>
      </x:c>
      <x:c r="F36" s="20" t="str">
        <x:v>条件推荐</x:v>
      </x:c>
      <x:c r="G36" s="20" t="str">
        <x:v>艺术客群定向模块</x:v>
      </x:c>
      <x:c r="H36" s="20" t="str">
        <x:v>艺术专业/驻留/B2B</x:v>
      </x:c>
      <x:c r="I36" s="24" t="n">
        <x:v>4</x:v>
      </x:c>
      <x:c r="J36" s="24" t="n">
        <x:v>5</x:v>
      </x:c>
      <x:c r="K36" s="24" t="n">
        <x:v>4</x:v>
      </x:c>
      <x:c r="L36" s="24" t="n">
        <x:v>2</x:v>
      </x:c>
      <x:c r="M36" s="24" t="n">
        <x:v>4</x:v>
      </x:c>
      <x:c r="N36" s="27" t="n">
        <x:f>ROUND((I36*'筛选标准'!$B$7+J36*'筛选标准'!$B$8+K36*'筛选标准'!$B$9+L36*'筛选标准'!$B$10+M36*'筛选标准'!$B$11)*20,0)</x:f>
        <x:v>77</x:v>
      </x:c>
      <x:c r="O36" s="24" t="n">
        <x:v>4</x:v>
      </x:c>
      <x:c r="P36" s="24" t="n">
        <x:v>3</x:v>
      </x:c>
      <x:c r="Q36" s="24" t="n">
        <x:v>4</x:v>
      </x:c>
      <x:c r="R36" s="24" t="n">
        <x:v>0</x:v>
      </x:c>
      <x:c r="S36" s="27" t="n">
        <x:f>ROUND((O36*'筛选标准'!$B$14+P36*'筛选标准'!$B$15+Q36*'筛选标准'!$B$16+R36*5*'筛选标准'!$B$17)*20,0)</x:f>
        <x:v>63</x:v>
      </x:c>
      <x:c r="T36" s="24" t="str">
        <x:f>IF(S36&gt;=85,"A",IF(S36&gt;=70,"B",IF(S36&gt;=50,"C","D")))</x:f>
        <x:v>C</x:v>
      </x:c>
      <x:c r="U36" s="20" t="n">
        <x:v>75</x:v>
      </x:c>
      <x:c r="V36" s="20" t="str">
        <x:v>有展览时</x:v>
      </x:c>
      <x:c r="W36" s="20" t="str">
        <x:v>黄桷坪步行</x:v>
      </x:c>
      <x:c r="X36" s="20" t="str">
        <x:v>校园进入与展览信息不稳定</x:v>
      </x:c>
      <x:c r="Y36" s="20" t="str">
        <x:v>雨天优先展馆</x:v>
      </x:c>
      <x:c r="Z36" s="20" t="str">
        <x:v>校园管控、展期变化</x:v>
      </x:c>
      <x:c r="AA36" s="20" t="str">
        <x:v>将学院史、四川画派和社区艺术联系起来，避免只拍校门</x:v>
      </x:c>
      <x:c r="AB36" s="20" t="str">
        <x:v>只在有公开展览或校方合作时进入产品</x:v>
      </x:c>
      <x:c r="AC36" s="20" t="str">
        <x:v>https://mzj.cq.gov.cn/sy_218/bmdt/mzyw/t_14233171.html</x:v>
      </x:c>
      <x:c r="AD36" s="20" t="str">
        <x:v>https://ghzrzyj.cq.gov.cn/bsfw_186/dtfw/mzyt/202511/t20251124_15184222_wap.html</x:v>
      </x:c>
      <x:c r="AE36" s="20" t="str">
        <x:v>2026-07-28</x:v>
      </x:c>
      <x:c r="AF36" s="20" t="str">
        <x:v>联系校方/美术馆核验公开活动</x:v>
      </x:c>
    </x:row>
    <x:row r="37" ht="54" customHeight="1">
      <x:c r="A37" s="20" t="str">
        <x:v>CQ032</x:v>
      </x:c>
      <x:c r="B37" s="20" t="str">
        <x:v>重庆建川博物馆聚落</x:v>
      </x:c>
      <x:c r="C37" s="20" t="str">
        <x:v>九龙坡</x:v>
      </x:c>
      <x:c r="D37" s="20" t="str">
        <x:v>D4B工业艺术</x:v>
      </x:c>
      <x:c r="E37" s="20" t="str">
        <x:v>工业/战争博物馆</x:v>
      </x:c>
      <x:c r="F37" s="20" t="str">
        <x:v>深度推荐</x:v>
      </x:c>
      <x:c r="G37" s="20" t="str">
        <x:v>在防空洞与工业遗存中收束城市史</x:v>
      </x:c>
      <x:c r="H37" s="20" t="str">
        <x:v>历史/工业/亲子</x:v>
      </x:c>
      <x:c r="I37" s="24" t="n">
        <x:v>5</x:v>
      </x:c>
      <x:c r="J37" s="24" t="n">
        <x:v>5</x:v>
      </x:c>
      <x:c r="K37" s="24" t="n">
        <x:v>4</x:v>
      </x:c>
      <x:c r="L37" s="24" t="n">
        <x:v>3</x:v>
      </x:c>
      <x:c r="M37" s="24" t="n">
        <x:v>3</x:v>
      </x:c>
      <x:c r="N37" s="27" t="n">
        <x:f>ROUND((I37*'筛选标准'!$B$7+J37*'筛选标准'!$B$8+K37*'筛选标准'!$B$9+L37*'筛选标准'!$B$10+M37*'筛选标准'!$B$11)*20,0)</x:f>
        <x:v>84</x:v>
      </x:c>
      <x:c r="O37" s="24" t="n">
        <x:v>5</x:v>
      </x:c>
      <x:c r="P37" s="24" t="n">
        <x:v>4</x:v>
      </x:c>
      <x:c r="Q37" s="24" t="n">
        <x:v>5</x:v>
      </x:c>
      <x:c r="R37" s="24" t="n">
        <x:v>0</x:v>
      </x:c>
      <x:c r="S37" s="27" t="n">
        <x:f>ROUND((O37*'筛选标准'!$B$14+P37*'筛选标准'!$B$15+Q37*'筛选标准'!$B$16+R37*5*'筛选标准'!$B$17)*20,0)</x:f>
        <x:v>80</x:v>
      </x:c>
      <x:c r="T37" s="24" t="str">
        <x:f>IF(S37&gt;=85,"A",IF(S37&gt;=70,"B",IF(S37&gt;=50,"C","D")))</x:f>
        <x:v>B</x:v>
      </x:c>
      <x:c r="U37" s="20" t="n">
        <x:v>150</x:v>
      </x:c>
      <x:c r="V37" s="20" t="str">
        <x:v>下午</x:v>
      </x:c>
      <x:c r="W37" s="20" t="str">
        <x:v>谢家湾+步行/车</x:v>
      </x:c>
      <x:c r="X37" s="20" t="str">
        <x:v>票务、英文与洞内动线待核验</x:v>
      </x:c>
      <x:c r="Y37" s="20" t="str">
        <x:v>雨天核心</x:v>
      </x:c>
      <x:c r="Z37" s="20" t="str">
        <x:v>台阶、洞内温湿度、闭馆</x:v>
      </x:c>
      <x:c r="AA37" s="20" t="str">
        <x:v>不是泛军事打卡；讲兵工、工业内迁与防空空间</x:v>
      </x:c>
      <x:c r="AB37" s="20" t="str">
        <x:v>观察防空洞如何从生产/避难空间转为博物馆</x:v>
      </x:c>
      <x:c r="AC37" s="20" t="str">
        <x:v>https://whlyw.cq.gov.cn/hdjl_221/xzzq/202601/t20260115_15320860.html</x:v>
      </x:c>
      <x:c r="AD37" s="20" t="str">
        <x:v>https://www.cq.gov.cn/ywdt/zwhd/qxdt/202009/t20200907_8628081.html</x:v>
      </x:c>
      <x:c r="AE37" s="20" t="str">
        <x:v>2026-07-28</x:v>
      </x:c>
      <x:c r="AF37" s="20" t="str">
        <x:v>实测全程、英文、儿童与行动不便适配</x:v>
      </x:c>
    </x:row>
    <x:row r="38" ht="54" customHeight="1">
      <x:c r="A38" s="20" t="str">
        <x:v>CQ033</x:v>
      </x:c>
      <x:c r="B38" s="20" t="str">
        <x:v>皇冠大扶梯</x:v>
      </x:c>
      <x:c r="C38" s="20" t="str">
        <x:v>渝中</x:v>
      </x:c>
      <x:c r="D38" s="20" t="str">
        <x:v>可选交通</x:v>
      </x:c>
      <x:c r="E38" s="20" t="str">
        <x:v>坡地交通</x:v>
      </x:c>
      <x:c r="F38" s="20" t="str">
        <x:v>条件推荐</x:v>
      </x:c>
      <x:c r="G38" s="20" t="str">
        <x:v>短时体验垂直公共交通</x:v>
      </x:c>
      <x:c r="H38" s="20" t="str">
        <x:v>交通/亲子/摄影</x:v>
      </x:c>
      <x:c r="I38" s="24" t="n">
        <x:v>4</x:v>
      </x:c>
      <x:c r="J38" s="24" t="n">
        <x:v>3</x:v>
      </x:c>
      <x:c r="K38" s="24" t="n">
        <x:v>4</x:v>
      </x:c>
      <x:c r="L38" s="24" t="n">
        <x:v>5</x:v>
      </x:c>
      <x:c r="M38" s="24" t="n">
        <x:v>4</x:v>
      </x:c>
      <x:c r="N38" s="27" t="n">
        <x:f>ROUND((I38*'筛选标准'!$B$7+J38*'筛选标准'!$B$8+K38*'筛选标准'!$B$9+L38*'筛选标准'!$B$10+M38*'筛选标准'!$B$11)*20,0)</x:f>
        <x:v>79</x:v>
      </x:c>
      <x:c r="O38" s="24" t="n">
        <x:v>5</x:v>
      </x:c>
      <x:c r="P38" s="24" t="n">
        <x:v>4</x:v>
      </x:c>
      <x:c r="Q38" s="24" t="n">
        <x:v>4</x:v>
      </x:c>
      <x:c r="R38" s="24" t="n">
        <x:v>0</x:v>
      </x:c>
      <x:c r="S38" s="27" t="n">
        <x:f>ROUND((O38*'筛选标准'!$B$14+P38*'筛选标准'!$B$15+Q38*'筛选标准'!$B$16+R38*5*'筛选标准'!$B$17)*20,0)</x:f>
        <x:v>76</x:v>
      </x:c>
      <x:c r="T38" s="24" t="str">
        <x:f>IF(S38&gt;=85,"A",IF(S38&gt;=70,"B",IF(S38&gt;=50,"C","D")))</x:f>
        <x:v>B</x:v>
      </x:c>
      <x:c r="U38" s="20" t="n">
        <x:v>15</x:v>
      </x:c>
      <x:c r="V38" s="20" t="str">
        <x:v>08:00—20:00参考</x:v>
      </x:c>
      <x:c r="W38" s="20" t="str">
        <x:v>两路口—菜园坝</x:v>
      </x:c>
      <x:c r="X38" s="20" t="str">
        <x:v>速度快；不能转身拍摄</x:v>
      </x:c>
      <x:c r="Y38" s="20" t="str">
        <x:v>雨天可</x:v>
      </x:c>
      <x:c r="Z38" s="20" t="str">
        <x:v>维护、节假日时段变化</x:v>
      </x:c>
      <x:c r="AA38" s="20" t="str">
        <x:v>不是游乐设施；讲火车站时代的垂直换乘</x:v>
      </x:c>
      <x:c r="AB38" s="20" t="str">
        <x:v>安全站立，观察上下端如何接入城市道路</x:v>
      </x:c>
      <x:c r="AC38" s="20" t="str">
        <x:v>https://cq.gov.cn/ywdt/bmts/202505/t20250529_14669045.html</x:v>
      </x:c>
      <x:c r="AD38" s="20" t="str">
        <x:v>https://www.shplanning.com.cn/archive/download/id/487.html</x:v>
      </x:c>
      <x:c r="AE38" s="20" t="str">
        <x:v>2026-07-28</x:v>
      </x:c>
      <x:c r="AF38" s="20" t="str">
        <x:v>当天运营、票价、安全提示</x:v>
      </x:c>
    </x:row>
    <x:row r="39" ht="54" customHeight="1">
      <x:c r="A39" s="20" t="str">
        <x:v>CQ034</x:v>
      </x:c>
      <x:c r="B39" s="20" t="str">
        <x:v>长江索道</x:v>
      </x:c>
      <x:c r="C39" s="20" t="str">
        <x:v>渝中—南岸</x:v>
      </x:c>
      <x:c r="D39" s="20" t="str">
        <x:v>可选交通</x:v>
      </x:c>
      <x:c r="E39" s="20" t="str">
        <x:v>跨江交通/景区</x:v>
      </x:c>
      <x:c r="F39" s="20" t="str">
        <x:v>条件推荐</x:v>
      </x:c>
      <x:c r="G39" s="20" t="str">
        <x:v>排队低于阈值才使用</x:v>
      </x:c>
      <x:c r="H39" s="20" t="str">
        <x:v>首次来渝/亲子</x:v>
      </x:c>
      <x:c r="I39" s="24" t="n">
        <x:v>4</x:v>
      </x:c>
      <x:c r="J39" s="24" t="n">
        <x:v>3</x:v>
      </x:c>
      <x:c r="K39" s="24" t="n">
        <x:v>4</x:v>
      </x:c>
      <x:c r="L39" s="24" t="n">
        <x:v>4</x:v>
      </x:c>
      <x:c r="M39" s="24" t="n">
        <x:v>1</x:v>
      </x:c>
      <x:c r="N39" s="27" t="n">
        <x:f>ROUND((I39*'筛选标准'!$B$7+J39*'筛选标准'!$B$8+K39*'筛选标准'!$B$9+L39*'筛选标准'!$B$10+M39*'筛选标准'!$B$11)*20,0)</x:f>
        <x:v>69</x:v>
      </x:c>
      <x:c r="O39" s="24" t="n">
        <x:v>5</x:v>
      </x:c>
      <x:c r="P39" s="24" t="n">
        <x:v>5</x:v>
      </x:c>
      <x:c r="Q39" s="24" t="n">
        <x:v>5</x:v>
      </x:c>
      <x:c r="R39" s="24" t="n">
        <x:v>0</x:v>
      </x:c>
      <x:c r="S39" s="27" t="n">
        <x:f>ROUND((O39*'筛选标准'!$B$14+P39*'筛选标准'!$B$15+Q39*'筛选标准'!$B$16+R39*5*'筛选标准'!$B$17)*20,0)</x:f>
        <x:v>85</x:v>
      </x:c>
      <x:c r="T39" s="24" t="str">
        <x:f>IF(S39&gt;=85,"A",IF(S39&gt;=70,"B",IF(S39&gt;=50,"C","D")))</x:f>
        <x:v>A</x:v>
      </x:c>
      <x:c r="U39" s="20" t="n">
        <x:v>25</x:v>
      </x:c>
      <x:c r="V39" s="20" t="str">
        <x:v>开门或晚间低峰</x:v>
      </x:c>
      <x:c r="W39" s="20" t="str">
        <x:v>新华路/上新街</x:v>
      </x:c>
      <x:c r="X39" s="20" t="str">
        <x:v>取号排队、停运、证件规则</x:v>
      </x:c>
      <x:c r="Y39" s="20" t="str">
        <x:v>雨天视风力</x:v>
      </x:c>
      <x:c r="Z39" s="20" t="str">
        <x:v>月度维护、排队常态</x:v>
      </x:c>
      <x:c r="AA39" s="20" t="str">
        <x:v>索道曾是公共交通；今天的体验价值取决于排队成本</x:v>
      </x:c>
      <x:c r="AB39" s="20" t="str">
        <x:v>设30分钟阈值，超过就改东水门桥/轨道</x:v>
      </x:c>
      <x:c r="AC39" s="20" t="str">
        <x:v>https://www.cqsuodao.com/zhangjiangsuodao.html</x:v>
      </x:c>
      <x:c r="AD39" s="20" t="str">
        <x:v>https://cq.gov.cn/ywdt/bmts/202505/t20250529_14669045.html</x:v>
      </x:c>
      <x:c r="AE39" s="20" t="str">
        <x:v>2026-07-28</x:v>
      </x:c>
      <x:c r="AF39" s="20" t="str">
        <x:v>实测工作日/周末排队和护照购票</x:v>
      </x:c>
    </x:row>
    <x:row r="40" ht="54" customHeight="1">
      <x:c r="A40" s="20" t="str">
        <x:v>CQ035</x:v>
      </x:c>
      <x:c r="B40" s="20" t="str">
        <x:v>重庆两江游</x:v>
      </x:c>
      <x:c r="C40" s="20" t="str">
        <x:v>渝中码头</x:v>
      </x:c>
      <x:c r="D40" s="20" t="str">
        <x:v>可选夜游</x:v>
      </x:c>
      <x:c r="E40" s="20" t="str">
        <x:v>游船夜景</x:v>
      </x:c>
      <x:c r="F40" s="20" t="str">
        <x:v>不进默认</x:v>
      </x:c>
      <x:c r="G40" s="20" t="str">
        <x:v>低体力夜景替代</x:v>
      </x:c>
      <x:c r="H40" s="20" t="str">
        <x:v>低体力/亲子/团队</x:v>
      </x:c>
      <x:c r="I40" s="24" t="n">
        <x:v>3</x:v>
      </x:c>
      <x:c r="J40" s="24" t="n">
        <x:v>2</x:v>
      </x:c>
      <x:c r="K40" s="24" t="n">
        <x:v>3</x:v>
      </x:c>
      <x:c r="L40" s="24" t="n">
        <x:v>4</x:v>
      </x:c>
      <x:c r="M40" s="24" t="n">
        <x:v>2</x:v>
      </x:c>
      <x:c r="N40" s="27" t="n">
        <x:f>ROUND((I40*'筛选标准'!$B$7+J40*'筛选标准'!$B$8+K40*'筛选标准'!$B$9+L40*'筛选标准'!$B$10+M40*'筛选标准'!$B$11)*20,0)</x:f>
        <x:v>57</x:v>
      </x:c>
      <x:c r="O40" s="24" t="n">
        <x:v>5</x:v>
      </x:c>
      <x:c r="P40" s="24" t="n">
        <x:v>4</x:v>
      </x:c>
      <x:c r="Q40" s="24" t="n">
        <x:v>5</x:v>
      </x:c>
      <x:c r="R40" s="24" t="n">
        <x:v>0</x:v>
      </x:c>
      <x:c r="S40" s="27" t="n">
        <x:f>ROUND((O40*'筛选标准'!$B$14+P40*'筛选标准'!$B$15+Q40*'筛选标准'!$B$16+R40*5*'筛选标准'!$B$17)*20,0)</x:f>
        <x:v>80</x:v>
      </x:c>
      <x:c r="T40" s="24" t="str">
        <x:f>IF(S40&gt;=85,"A",IF(S40&gt;=70,"B",IF(S40&gt;=50,"C","D")))</x:f>
        <x:v>B</x:v>
      </x:c>
      <x:c r="U40" s="20" t="n">
        <x:v>75</x:v>
      </x:c>
      <x:c r="V40" s="20" t="str">
        <x:v>夜间</x:v>
      </x:c>
      <x:c r="W40" s="20" t="str">
        <x:v>朝天门片区码头</x:v>
      </x:c>
      <x:c r="X40" s="20" t="str">
        <x:v>码头、船型和票种混淆</x:v>
      </x:c>
      <x:c r="Y40" s="20" t="str">
        <x:v>雨天视船方</x:v>
      </x:c>
      <x:c r="Z40" s="20" t="str">
        <x:v>营销票种、能见度、拥挤</x:v>
      </x:c>
      <x:c r="AA40" s="20" t="str">
        <x:v>不是“必去”；其价值是低体力连续看两岸，不是文化深度</x:v>
      </x:c>
      <x:c r="AB40" s="20" t="str">
        <x:v>比较步行夜景与船上视角的取舍</x:v>
      </x:c>
      <x:c r="AC40" s="20" t="str">
        <x:v>https://cq.gov.cn/zwgk/zfxxgkml/zdlyxxgk/ggwh/ly/zxdt/202603/t20260304_15487802.html</x:v>
      </x:c>
      <x:c r="AD40" s="20" t="str">
        <x:v>https://www.cq.gov.cn/ywdt/jrcq/202605/t20260531_15716501_app.html</x:v>
      </x:c>
      <x:c r="AE40" s="20" t="str">
        <x:v>2026-07-28</x:v>
      </x:c>
      <x:c r="AF40" s="20" t="str">
        <x:v>核验船型、码头、座位、退改与英文</x:v>
      </x:c>
    </x:row>
    <x:row r="41" ht="54" customHeight="1">
      <x:c r="A41" s="20" t="str">
        <x:v>CQ036</x:v>
      </x:c>
      <x:c r="B41" s="20" t="str">
        <x:v>磁器口古镇</x:v>
      </x:c>
      <x:c r="C41" s="20" t="str">
        <x:v>沙坪坝</x:v>
      </x:c>
      <x:c r="D41" s="20" t="str">
        <x:v>可选街区</x:v>
      </x:c>
      <x:c r="E41" s="20" t="str">
        <x:v>古镇/商业</x:v>
      </x:c>
      <x:c r="F41" s="20" t="str">
        <x:v>不进默认</x:v>
      </x:c>
      <x:c r="G41" s="20" t="str">
        <x:v>早晨定向非遗或亲子模块</x:v>
      </x:c>
      <x:c r="H41" s="20" t="str">
        <x:v>亲子/首次来渝/购物</x:v>
      </x:c>
      <x:c r="I41" s="24" t="n">
        <x:v>4</x:v>
      </x:c>
      <x:c r="J41" s="24" t="n">
        <x:v>4</x:v>
      </x:c>
      <x:c r="K41" s="24" t="n">
        <x:v>2</x:v>
      </x:c>
      <x:c r="L41" s="24" t="n">
        <x:v>5</x:v>
      </x:c>
      <x:c r="M41" s="24" t="n">
        <x:v>2</x:v>
      </x:c>
      <x:c r="N41" s="27" t="n">
        <x:f>ROUND((I41*'筛选标准'!$B$7+J41*'筛选标准'!$B$8+K41*'筛选标准'!$B$9+L41*'筛选标准'!$B$10+M41*'筛选标准'!$B$11)*20,0)</x:f>
        <x:v>72</x:v>
      </x:c>
      <x:c r="O41" s="24" t="n">
        <x:v>5</x:v>
      </x:c>
      <x:c r="P41" s="24" t="n">
        <x:v>5</x:v>
      </x:c>
      <x:c r="Q41" s="24" t="n">
        <x:v>4</x:v>
      </x:c>
      <x:c r="R41" s="24" t="n">
        <x:v>0</x:v>
      </x:c>
      <x:c r="S41" s="27" t="n">
        <x:f>ROUND((O41*'筛选标准'!$B$14+P41*'筛选标准'!$B$15+Q41*'筛选标准'!$B$16+R41*5*'筛选标准'!$B$17)*20,0)</x:f>
        <x:v>81</x:v>
      </x:c>
      <x:c r="T41" s="24" t="str">
        <x:f>IF(S41&gt;=85,"A",IF(S41&gt;=70,"B",IF(S41&gt;=50,"C","D")))</x:f>
        <x:v>B</x:v>
      </x:c>
      <x:c r="U41" s="20" t="n">
        <x:v>90</x:v>
      </x:c>
      <x:c r="V41" s="20" t="str">
        <x:v>开门后1小时内</x:v>
      </x:c>
      <x:c r="W41" s="20" t="str">
        <x:v>磁器口站</x:v>
      </x:c>
      <x:c r="X41" s="20" t="str">
        <x:v>主街英语尚可；深层内容需讲解</x:v>
      </x:c>
      <x:c r="Y41" s="20" t="str">
        <x:v>雨天可</x:v>
      </x:c>
      <x:c r="Z41" s="20" t="str">
        <x:v>节假日极拥挤、主街同质</x:v>
      </x:c>
      <x:c r="AA41" s="20" t="str">
        <x:v>文化价值存在，但默认4天跨区成本过高；只做定向主题</x:v>
      </x:c>
      <x:c r="AB41" s="20" t="str">
        <x:v>避开主街消费动线，确认可体验的非遗点</x:v>
      </x:c>
      <x:c r="AC41" s="20" t="str">
        <x:v>https://ghzrzyj.cq.gov.cn/bsfw_186/dtfw/mzyt/202511/t20251124_15184222_wap.html</x:v>
      </x:c>
      <x:c r="AD41" s="20" t="str">
        <x:v>https://www.reddit.com/r/travelchina/comments/1v4olqp/thoughts_on_my_chongqing_itinerary/</x:v>
      </x:c>
      <x:c r="AE41" s="20" t="str">
        <x:v>2026-07-28</x:v>
      </x:c>
      <x:c r="AF41" s="20" t="str">
        <x:v>清晨实走、非遗店履约和拥挤阈值</x:v>
      </x:c>
    </x:row>
    <x:row r="42" ht="54" customHeight="1">
      <x:c r="A42" s="20" t="str">
        <x:v>CQ037</x:v>
      </x:c>
      <x:c r="B42" s="20" t="str">
        <x:v>观音桥夜间消费区</x:v>
      </x:c>
      <x:c r="C42" s="20" t="str">
        <x:v>江北</x:v>
      </x:c>
      <x:c r="D42" s="20" t="str">
        <x:v>可选夜生活</x:v>
      </x:c>
      <x:c r="E42" s="20" t="str">
        <x:v>本地商业/夜生活</x:v>
      </x:c>
      <x:c r="F42" s="20" t="str">
        <x:v>条件推荐</x:v>
      </x:c>
      <x:c r="G42" s="20" t="str">
        <x:v>观察本地年轻消费而非历史</x:v>
      </x:c>
      <x:c r="H42" s="20" t="str">
        <x:v>年轻游客/夜生活/食物</x:v>
      </x:c>
      <x:c r="I42" s="24" t="n">
        <x:v>3</x:v>
      </x:c>
      <x:c r="J42" s="24" t="n">
        <x:v>3</x:v>
      </x:c>
      <x:c r="K42" s="24" t="n">
        <x:v>3</x:v>
      </x:c>
      <x:c r="L42" s="24" t="n">
        <x:v>4</x:v>
      </x:c>
      <x:c r="M42" s="24" t="n">
        <x:v>3</x:v>
      </x:c>
      <x:c r="N42" s="27" t="n">
        <x:f>ROUND((I42*'筛选标准'!$B$7+J42*'筛选标准'!$B$8+K42*'筛选标准'!$B$9+L42*'筛选标准'!$B$10+M42*'筛选标准'!$B$11)*20,0)</x:f>
        <x:v>64</x:v>
      </x:c>
      <x:c r="O42" s="24" t="n">
        <x:v>4</x:v>
      </x:c>
      <x:c r="P42" s="24" t="n">
        <x:v>4</x:v>
      </x:c>
      <x:c r="Q42" s="24" t="n">
        <x:v>4</x:v>
      </x:c>
      <x:c r="R42" s="24" t="n">
        <x:v>0</x:v>
      </x:c>
      <x:c r="S42" s="27" t="n">
        <x:f>ROUND((O42*'筛选标准'!$B$14+P42*'筛选标准'!$B$15+Q42*'筛选标准'!$B$16+R42*5*'筛选标准'!$B$17)*20,0)</x:f>
        <x:v>68</x:v>
      </x:c>
      <x:c r="T42" s="24" t="str">
        <x:f>IF(S42&gt;=85,"A",IF(S42&gt;=70,"B",IF(S42&gt;=50,"C","D")))</x:f>
        <x:v>C</x:v>
      </x:c>
      <x:c r="U42" s="20" t="n">
        <x:v>120</x:v>
      </x:c>
      <x:c r="V42" s="20" t="str">
        <x:v>晚餐后</x:v>
      </x:c>
      <x:c r="W42" s="20" t="str">
        <x:v>观音桥站</x:v>
      </x:c>
      <x:c r="X42" s="20" t="str">
        <x:v>晚间英语不稳定</x:v>
      </x:c>
      <x:c r="Y42" s="20" t="str">
        <x:v>雨天转商场</x:v>
      </x:c>
      <x:c r="Z42" s="20" t="str">
        <x:v>拥挤、噪音、晚归</x:v>
      </x:c>
      <x:c r="AA42" s="20" t="str">
        <x:v>作为“游客中心之外的当代重庆”，不伪装成深历史</x:v>
      </x:c>
      <x:c r="AB42" s="20" t="str">
        <x:v>观察商圈、夜市、办公与居住人流混合</x:v>
      </x:c>
      <x:c r="AC42" s="20" t="str">
        <x:v>https://www.reddit.com/r/travelchina/comments/1o74mfa/trip_report_for_chongqing_4_night_stay/</x:v>
      </x:c>
      <x:c r="AD42" s="20" t="str">
        <x:v>https://www.cqyz.gov.cn/bm_229/qwhlyw/zwxx_97154/dt/202606/t20260605_15733979.html</x:v>
      </x:c>
      <x:c r="AE42" s="20" t="str">
        <x:v>2026-07-28</x:v>
      </x:c>
      <x:c r="AF42" s="20" t="str">
        <x:v>核验夜市位置、末班车和安全动线</x:v>
      </x:c>
    </x:row>
    <x:row r="43" ht="54" customHeight="1">
      <x:c r="A43" s="20" t="str">
        <x:v>CQ038</x:v>
      </x:c>
      <x:c r="B43" s="20" t="str">
        <x:v>社区型重庆火锅体验</x:v>
      </x:c>
      <x:c r="C43" s="20" t="str">
        <x:v>主城多区</x:v>
      </x:c>
      <x:c r="D43" s="20" t="str">
        <x:v>食物体验</x:v>
      </x:c>
      <x:c r="E43" s="20" t="str">
        <x:v>饮食/社交</x:v>
      </x:c>
      <x:c r="F43" s="20" t="str">
        <x:v>必去核心</x:v>
      </x:c>
      <x:c r="G43" s="20" t="str">
        <x:v>从餐厅推荐升级为点菜与文化解释</x:v>
      </x:c>
      <x:c r="H43" s="20" t="str">
        <x:v>全部客群/小团</x:v>
      </x:c>
      <x:c r="I43" s="24" t="n">
        <x:v>5</x:v>
      </x:c>
      <x:c r="J43" s="24" t="n">
        <x:v>5</x:v>
      </x:c>
      <x:c r="K43" s="24" t="n">
        <x:v>5</x:v>
      </x:c>
      <x:c r="L43" s="24" t="n">
        <x:v>2</x:v>
      </x:c>
      <x:c r="M43" s="24" t="n">
        <x:v>2</x:v>
      </x:c>
      <x:c r="N43" s="27" t="n">
        <x:f>ROUND((I43*'筛选标准'!$B$7+J43*'筛选标准'!$B$8+K43*'筛选标准'!$B$9+L43*'筛选标准'!$B$10+M43*'筛选标准'!$B$11)*20,0)</x:f>
        <x:v>82</x:v>
      </x:c>
      <x:c r="O43" s="24" t="n">
        <x:v>5</x:v>
      </x:c>
      <x:c r="P43" s="24" t="n">
        <x:v>5</x:v>
      </x:c>
      <x:c r="Q43" s="24" t="n">
        <x:v>5</x:v>
      </x:c>
      <x:c r="R43" s="24" t="n">
        <x:v>0</x:v>
      </x:c>
      <x:c r="S43" s="27" t="n">
        <x:f>ROUND((O43*'筛选标准'!$B$14+P43*'筛选标准'!$B$15+Q43*'筛选标准'!$B$16+R43*5*'筛选标准'!$B$17)*20,0)</x:f>
        <x:v>85</x:v>
      </x:c>
      <x:c r="T43" s="24" t="str">
        <x:f>IF(S43&gt;=85,"A",IF(S43&gt;=70,"B",IF(S43&gt;=50,"C","D")))</x:f>
        <x:v>A</x:v>
      </x:c>
      <x:c r="U43" s="20" t="n">
        <x:v>150</x:v>
      </x:c>
      <x:c r="V43" s="20" t="str">
        <x:v>晚餐</x:v>
      </x:c>
      <x:c r="W43" s="20" t="str">
        <x:v>步行优先</x:v>
      </x:c>
      <x:c r="X43" s="20" t="str">
        <x:v>辣度、内脏、过敏、素食、英语</x:v>
      </x:c>
      <x:c r="Y43" s="20" t="str">
        <x:v>雨天核心</x:v>
      </x:c>
      <x:c r="Z43" s="20" t="str">
        <x:v>食品安全、责任、取消</x:v>
      </x:c>
      <x:c r="AA43" s="20" t="str">
        <x:v>火锅是共享秩序：锅底、油碟、下菜顺序、共同用餐与地方身份</x:v>
      </x:c>
      <x:c r="AB43" s="20" t="str">
        <x:v>让游客完成一次点菜而不是只吃套餐</x:v>
      </x:c>
      <x:c r="AC43" s="20" t="str">
        <x:v>https://whlyw.cq.gov.cn/zjwl/szq/zqms/202411/t20241111_13787035.html</x:v>
      </x:c>
      <x:c r="AD43" s="20" t="str">
        <x:v>https://whlyw.cq.gov.cn/zwgk_221/zfgkzcwj/qtwj/202607/t20260709_15810099.html</x:v>
      </x:c>
      <x:c r="AE43" s="20" t="str">
        <x:v>2026-07-28</x:v>
      </x:c>
      <x:c r="AF43" s="20" t="str">
        <x:v>筛选3家：英语、过敏、价格、拍摄、取消</x:v>
      </x:c>
    </x:row>
    <x:row r="44" ht="54" customHeight="1">
      <x:c r="A44" s="20" t="str">
        <x:v>CQ039</x:v>
      </x:c>
      <x:c r="B44" s="20" t="str">
        <x:v>重庆小面早餐</x:v>
      </x:c>
      <x:c r="C44" s="20" t="str">
        <x:v>主城多区</x:v>
      </x:c>
      <x:c r="D44" s="20" t="str">
        <x:v>食物体验</x:v>
      </x:c>
      <x:c r="E44" s="20" t="str">
        <x:v>早餐/日常</x:v>
      </x:c>
      <x:c r="F44" s="20" t="str">
        <x:v>深度推荐</x:v>
      </x:c>
      <x:c r="G44" s="20" t="str">
        <x:v>低成本进入本地日常</x:v>
      </x:c>
      <x:c r="H44" s="20" t="str">
        <x:v>全部客群/背包客</x:v>
      </x:c>
      <x:c r="I44" s="24" t="n">
        <x:v>4</x:v>
      </x:c>
      <x:c r="J44" s="24" t="n">
        <x:v>4</x:v>
      </x:c>
      <x:c r="K44" s="24" t="n">
        <x:v>5</x:v>
      </x:c>
      <x:c r="L44" s="24" t="n">
        <x:v>2</x:v>
      </x:c>
      <x:c r="M44" s="24" t="n">
        <x:v>4</x:v>
      </x:c>
      <x:c r="N44" s="27" t="n">
        <x:f>ROUND((I44*'筛选标准'!$B$7+J44*'筛选标准'!$B$8+K44*'筛选标准'!$B$9+L44*'筛选标准'!$B$10+M44*'筛选标准'!$B$11)*20,0)</x:f>
        <x:v>76</x:v>
      </x:c>
      <x:c r="O44" s="24" t="n">
        <x:v>4</x:v>
      </x:c>
      <x:c r="P44" s="24" t="n">
        <x:v>4</x:v>
      </x:c>
      <x:c r="Q44" s="24" t="n">
        <x:v>4</x:v>
      </x:c>
      <x:c r="R44" s="24" t="n">
        <x:v>0</x:v>
      </x:c>
      <x:c r="S44" s="27" t="n">
        <x:f>ROUND((O44*'筛选标准'!$B$14+P44*'筛选标准'!$B$15+Q44*'筛选标准'!$B$16+R44*5*'筛选标准'!$B$17)*20,0)</x:f>
        <x:v>68</x:v>
      </x:c>
      <x:c r="T44" s="24" t="str">
        <x:f>IF(S44&gt;=85,"A",IF(S44&gt;=70,"B",IF(S44&gt;=50,"C","D")))</x:f>
        <x:v>C</x:v>
      </x:c>
      <x:c r="U44" s="20" t="n">
        <x:v>40</x:v>
      </x:c>
      <x:c r="V44" s="20" t="str">
        <x:v>07:30—09:30</x:v>
      </x:c>
      <x:c r="W44" s="20" t="str">
        <x:v>住宿地步行</x:v>
      </x:c>
      <x:c r="X44" s="20" t="str">
        <x:v>菜单、辣度、调料和座位规则</x:v>
      </x:c>
      <x:c r="Y44" s="20" t="str">
        <x:v>雨天核心</x:v>
      </x:c>
      <x:c r="Z44" s="20" t="str">
        <x:v>卫生差异、现金/扫码</x:v>
      </x:c>
      <x:c r="AA44" s="20" t="str">
        <x:v>不要追“网红第一名”；讲二两三两、干溜汤面与调料自定义</x:v>
      </x:c>
      <x:c r="AB44" s="20" t="str">
        <x:v>用中文点菜卡完成独立下单</x:v>
      </x:c>
      <x:c r="AC44" s="20" t="str">
        <x:v>https://whlyw.cq.gov.cn/zwgk_221/zfgkzcwj/qtwj/202607/t20260709_15810099.html</x:v>
      </x:c>
      <x:c r="AD44" s="20" t="str">
        <x:v>https://www.reddit.com/r/travelchina/comments/1o74mfa/trip_report_for_chongqing_4_night_stay/</x:v>
      </x:c>
      <x:c r="AE44" s="20" t="str">
        <x:v>2026-07-28</x:v>
      </x:c>
      <x:c r="AF44" s="20" t="str">
        <x:v>住宿区各核验2家及外籍点单</x:v>
      </x:c>
    </x:row>
    <x:row r="45" ht="54" customHeight="1">
      <x:c r="A45" s="21" t="str">
        <x:v>CQ040</x:v>
      </x:c>
      <x:c r="B45" s="21" t="str">
        <x:v>川剧/地方表演体验</x:v>
      </x:c>
      <x:c r="C45" s="21" t="str">
        <x:v>主城</x:v>
      </x:c>
      <x:c r="D45" s="21" t="str">
        <x:v>夜间/雨天</x:v>
      </x:c>
      <x:c r="E45" s="21" t="str">
        <x:v>表演/非遗</x:v>
      </x:c>
      <x:c r="F45" s="21" t="str">
        <x:v>条件推荐</x:v>
      </x:c>
      <x:c r="G45" s="21" t="str">
        <x:v>需要英文解释与互动才能卖高价</x:v>
      </x:c>
      <x:c r="H45" s="21" t="str">
        <x:v>亲子/文化/小团</x:v>
      </x:c>
      <x:c r="I45" s="25" t="n">
        <x:v>4</x:v>
      </x:c>
      <x:c r="J45" s="25" t="n">
        <x:v>5</x:v>
      </x:c>
      <x:c r="K45" s="25" t="n">
        <x:v>4</x:v>
      </x:c>
      <x:c r="L45" s="25" t="n">
        <x:v>2</x:v>
      </x:c>
      <x:c r="M45" s="25" t="n">
        <x:v>3</x:v>
      </x:c>
      <x:c r="N45" s="28" t="n">
        <x:f>ROUND((I45*'筛选标准'!$B$7+J45*'筛选标准'!$B$8+K45*'筛选标准'!$B$9+L45*'筛选标准'!$B$10+M45*'筛选标准'!$B$11)*20,0)</x:f>
        <x:v>75</x:v>
      </x:c>
      <x:c r="O45" s="25" t="n">
        <x:v>5</x:v>
      </x:c>
      <x:c r="P45" s="25" t="n">
        <x:v>4</x:v>
      </x:c>
      <x:c r="Q45" s="25" t="n">
        <x:v>5</x:v>
      </x:c>
      <x:c r="R45" s="25" t="n">
        <x:v>0</x:v>
      </x:c>
      <x:c r="S45" s="28" t="n">
        <x:f>ROUND((O45*'筛选标准'!$B$14+P45*'筛选标准'!$B$15+Q45*'筛选标准'!$B$16+R45*5*'筛选标准'!$B$17)*20,0)</x:f>
        <x:v>80</x:v>
      </x:c>
      <x:c r="T45" s="25" t="str">
        <x:f>IF(S45&gt;=85,"A",IF(S45&gt;=70,"B",IF(S45&gt;=50,"C","D")))</x:f>
        <x:v>B</x:v>
      </x:c>
      <x:c r="U45" s="21" t="n">
        <x:v>90</x:v>
      </x:c>
      <x:c r="V45" s="21" t="str">
        <x:v>按演出</x:v>
      </x:c>
      <x:c r="W45" s="21" t="str">
        <x:v>轨道+短程车</x:v>
      </x:c>
      <x:c r="X45" s="21" t="str">
        <x:v>演出质量、英文、座位、拍摄规则</x:v>
      </x:c>
      <x:c r="Y45" s="21" t="str">
        <x:v>雨天核心</x:v>
      </x:c>
      <x:c r="Z45" s="21" t="str">
        <x:v>变脸拼盘化、退改</x:v>
      </x:c>
      <x:c r="AA45" s="21" t="str">
        <x:v>从“变脸奇观”升级到唱腔、锣鼓、角色和后台互动</x:v>
      </x:c>
      <x:c r="AB45" s="21" t="str">
        <x:v>至少有演前导读或演后交流，否则不进深度产品</x:v>
      </x:c>
      <x:c r="AC45" s="21" t="str">
        <x:v>https://whlyw.cq.gov.cn/hdjl_221/xzzq/202601/t20260115_15320860.html</x:v>
      </x:c>
      <x:c r="AD45" s="21" t="str">
        <x:v>https://whlyw.cq.gov.cn/zwgk_221/zfgkzcwj/qtwj/202607/t20260709_15810099.html</x:v>
      </x:c>
      <x:c r="AE45" s="21" t="str">
        <x:v>2026-07-28</x:v>
      </x:c>
      <x:c r="AF45" s="21" t="str">
        <x:v>访谈剧院：英语、资历、人数、价格、影像权</x:v>
      </x:c>
    </x:row>
  </x:sheetData>
  <x:mergeCells>
    <x:mergeCell ref="A1:AF1"/>
    <x:mergeCell ref="A2:AF2"/>
  </x:mergeCells>
  <x:conditionalFormatting sqref="F6:F45">
    <x:cfRule type="containsText" dxfId="0" priority="1" operator="containsText" text="必去核心"/>
    <x:cfRule type="containsText" dxfId="1" priority="2" operator="containsText" text="条件推荐"/>
    <x:cfRule type="containsText" dxfId="2" priority="3" operator="containsText" text="不进默认"/>
  </x:conditionalFormatting>
  <x:conditionalFormatting sqref="T6:T45">
    <x:cfRule type="containsText" dxfId="3" priority="4" operator="containsText" text="A"/>
    <x:cfRule type="containsText" dxfId="4" priority="5" operator="containsText" text="D"/>
  </x:conditionalFormatting>
  <x:dataValidations count="1">
    <x:dataValidation type="list" sqref="R6:R45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77b4b48fec4c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34" hidden="0" customWidth="1"/>
    <x:col min="5" max="5" width="42" hidden="0" customWidth="1"/>
    <x:col min="6" max="6" width="34" hidden="0" customWidth="1"/>
    <x:col min="7" max="7" width="36" hidden="0" customWidth="1"/>
    <x:col min="8" max="8" width="12" hidden="0" customWidth="1"/>
    <x:col min="9" max="9" width="38" hidden="0" customWidth="1"/>
    <x:col min="10" max="10" width="38" hidden="0" customWidth="1"/>
    <x:col min="11" max="11" width="26" hidden="0" customWidth="1"/>
  </x:cols>
  <x:sheetData>
    <x:row r="1" ht="32" customHeight="1">
      <x:c r="A1" s="3" t="str">
        <x:v>深度讲解卡｜让答案不同于Google和通用AI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每张卡都包含现场观察、历史框架、禁用套话和游客问题。它们是路书内容壁垒，不是导游词全文。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11" t="str">
        <x:v>卡ID</x:v>
      </x:c>
      <x:c r="B5" s="11" t="str">
        <x:v>主题</x:v>
      </x:c>
      <x:c r="C5" s="11" t="str">
        <x:v>适用节点</x:v>
      </x:c>
      <x:c r="D5" s="11" t="str">
        <x:v>现场切入</x:v>
      </x:c>
      <x:c r="E5" s="11" t="str">
        <x:v>深层解释</x:v>
      </x:c>
      <x:c r="F5" s="11" t="str">
        <x:v>不要这样说</x:v>
      </x:c>
      <x:c r="G5" s="11" t="str">
        <x:v>给游客的问题</x:v>
      </x:c>
      <x:c r="H5" s="11" t="str">
        <x:v>证据状态</x:v>
      </x:c>
      <x:c r="I5" s="11" t="str">
        <x:v>来源URL1</x:v>
      </x:c>
      <x:c r="J5" s="11" t="str">
        <x:v>来源URL2</x:v>
      </x:c>
      <x:c r="K5" s="11" t="str">
        <x:v>下一步</x:v>
      </x:c>
    </x:row>
    <x:row r="6" ht="66" customHeight="1">
      <x:c r="A6" s="19" t="str">
        <x:v>ST01</x:v>
      </x:c>
      <x:c r="B6" s="19" t="str">
        <x:v>重庆为什么“地面不止一层”</x:v>
      </x:c>
      <x:c r="C6" s="19" t="str">
        <x:v>魁星楼、朝天门、洪崖洞、山城步道</x:v>
      </x:c>
      <x:c r="D6" s="19" t="str">
        <x:v>先让游客描述自己所在的“地面”与楼层</x:v>
      </x:c>
      <x:c r="E6" s="19" t="str">
        <x:v>地形不是高楼的背景，而是塑造道路、入口、治理和日常经验的主动因素</x:v>
      </x:c>
      <x:c r="F6" s="19" t="str">
        <x:v>重庆是8D魔幻城市，所以哪里都没有一楼</x:v>
      </x:c>
      <x:c r="G6" s="19" t="str">
        <x:v>如果导航只给平面距离，它漏掉了什么？</x:v>
      </x:c>
      <x:c r="H6" s="19" t="str">
        <x:v>S2+S3</x:v>
      </x:c>
      <x:c r="I6" s="19" t="str">
        <x:v>https://doi.org/10.17645/up.v7i4.5810</x:v>
      </x:c>
      <x:c r="J6" s="19" t="str">
        <x:v>https://www.reddit.com/r/travelchina/comments/1t4cdvm/help_planning_chongqing/</x:v>
      </x:c>
      <x:c r="K6" s="19" t="str">
        <x:v>做一张入口层级图</x:v>
      </x:c>
    </x:row>
    <x:row r="7" ht="66" customHeight="1">
      <x:c r="A7" s="20" t="str">
        <x:v>ST02</x:v>
      </x:c>
      <x:c r="B7" s="20" t="str">
        <x:v>奇观与日常的冲突</x:v>
      </x:c>
      <x:c r="C7" s="20" t="str">
        <x:v>洪崖洞、白象居、李子坝</x:v>
      </x:c>
      <x:c r="D7" s="20" t="str">
        <x:v>比较游客拍摄动作与居民通行</x:v>
      </x:c>
      <x:c r="E7" s="20" t="str">
        <x:v>外来者看到“赛博朋克”，居民面对的是通勤、消防、噪音和公共/私人边界</x:v>
      </x:c>
      <x:c r="F7" s="20" t="str">
        <x:v>这里像电影，所以居民也欢迎游客随便拍</x:v>
      </x:c>
      <x:c r="G7" s="20" t="str">
        <x:v>什么时候一个城市空间从公共场所变成别人的生活空间？</x:v>
      </x:c>
      <x:c r="H7" s="20" t="str">
        <x:v>S2</x:v>
      </x:c>
      <x:c r="I7" s="20" t="str">
        <x:v>https://eprints.whiterose.ac.uk/id/eprint/185301/</x:v>
      </x:c>
      <x:c r="J7" s="20" t="str">
        <x:v>https://www.cq.gov.cn/ywdt/jrcq/202606/t20260613_15751500.html</x:v>
      </x:c>
      <x:c r="K7" s="20" t="str">
        <x:v>制定拍摄伦理卡</x:v>
      </x:c>
    </x:row>
    <x:row r="8" ht="66" customHeight="1">
      <x:c r="A8" s="20" t="str">
        <x:v>ST03</x:v>
      </x:c>
      <x:c r="B8" s="20" t="str">
        <x:v>朝天门为什么是重庆的门</x:v>
      </x:c>
      <x:c r="C8" s="20" t="str">
        <x:v>朝天门江岸</x:v>
      </x:c>
      <x:c r="D8" s="20" t="str">
        <x:v>观察两江交汇、半岛尖端与历史码头方向</x:v>
      </x:c>
      <x:c r="E8" s="20" t="str">
        <x:v>城门、码头、航运和当代交通共同定义重庆的门户性</x:v>
      </x:c>
      <x:c r="F8" s="20" t="str">
        <x:v>来福士就是朝天门</x:v>
      </x:c>
      <x:c r="G8" s="20" t="str">
        <x:v>如果没有长江航运，重庆会怎样生长？</x:v>
      </x:c>
      <x:c r="H8" s="20" t="str">
        <x:v>S1</x:v>
      </x:c>
      <x:c r="I8" s="20" t="str">
        <x:v>https://www.cq.gov.cn/zwgk/zfxxgkml/zdlyxxgk/ggwh/ly/zxdt/202511/t20251107_15146900.html</x:v>
      </x:c>
      <x:c r="J8" s="20" t="str">
        <x:v>https://www.cq.gov.cn/ywdt/zwhd/qxdt/202009/t20200907_8628081.html</x:v>
      </x:c>
      <x:c r="K8" s="20" t="str">
        <x:v>现场确认历史遗存可见点</x:v>
      </x:c>
    </x:row>
    <x:row r="9" ht="66" customHeight="1">
      <x:c r="A9" s="20" t="str">
        <x:v>ST04</x:v>
      </x:c>
      <x:c r="B9" s="20" t="str">
        <x:v>湖广填四川不是一句口号</x:v>
      </x:c>
      <x:c r="C9" s="20" t="str">
        <x:v>湖广会馆</x:v>
      </x:c>
      <x:c r="D9" s="20" t="str">
        <x:v>用会所、戏台、神祇和雕刻解释组织结构</x:v>
      </x:c>
      <x:c r="E9" s="20" t="str">
        <x:v>移民需要同乡互助、贸易信用、祭祀与公共生活，会馆是制度化空间</x:v>
      </x:c>
      <x:c r="F9" s="20" t="str">
        <x:v>四川人都是湖广移民后代</x:v>
      </x:c>
      <x:c r="G9" s="20" t="str">
        <x:v>建筑中哪些空间服务商业，哪些服务信仰？</x:v>
      </x:c>
      <x:c r="H9" s="20" t="str">
        <x:v>S1</x:v>
      </x:c>
      <x:c r="I9" s="20" t="str">
        <x:v>https://whlyw.cq.gov.cn/zjwl/yzq/cqwlzy/zqwwzy/202405/t20240507_13182428.html</x:v>
      </x:c>
      <x:c r="J9" s="20" t="str">
        <x:v>https://ghzrzyj.cq.gov.cn/ztlm_186/ghgb/zxgh/202507/P020250716371670706300.pdf</x:v>
      </x:c>
      <x:c r="K9" s="20" t="str">
        <x:v>核验馆内叙事与英文</x:v>
      </x:c>
    </x:row>
    <x:row r="10" ht="66" customHeight="1">
      <x:c r="A10" s="20" t="str">
        <x:v>ST05</x:v>
      </x:c>
      <x:c r="B10" s="20" t="str">
        <x:v>九开八闭与山江防御</x:v>
      </x:c>
      <x:c r="C10" s="20" t="str">
        <x:v>东水门、通远门</x:v>
      </x:c>
      <x:c r="D10" s="20" t="str">
        <x:v>从水门走到陆门，比较内外高差</x:v>
      </x:c>
      <x:c r="E10" s="20" t="str">
        <x:v>十七城门依山就势；通远门不面水，东水门连接长江航运</x:v>
      </x:c>
      <x:c r="F10" s="20" t="str">
        <x:v>重庆古城墙和西安城墙一样连续完整</x:v>
      </x:c>
      <x:c r="G10" s="20" t="str">
        <x:v>为什么很多重庆城墙看起来更像崖壁？</x:v>
      </x:c>
      <x:c r="H10" s="20" t="str">
        <x:v>S1</x:v>
      </x:c>
      <x:c r="I10" s="20" t="str">
        <x:v>https://whlyw.cq.gov.cn/zjwl/yzq/cqwlzy/zqwwzy/202405/t20240507_13182468.html</x:v>
      </x:c>
      <x:c r="J10" s="20" t="str">
        <x:v>https://www.cqyz.gov.cn/zjyz/lyyz/rmdkd/202202/t20220215_10397616.html</x:v>
      </x:c>
      <x:c r="K10" s="20" t="str">
        <x:v>制作两门小地图</x:v>
      </x:c>
    </x:row>
    <x:row r="11" ht="66" customHeight="1">
      <x:c r="A11" s="20" t="str">
        <x:v>ST06</x:v>
      </x:c>
      <x:c r="B11" s="20" t="str">
        <x:v>上半城与下半城</x:v>
      </x:c>
      <x:c r="C11" s="20" t="str">
        <x:v>白象街、山城巷、十八梯</x:v>
      </x:c>
      <x:c r="D11" s="20" t="str">
        <x:v>从江边商业与山上政务/居住的高差切入</x:v>
      </x:c>
      <x:c r="E11" s="20" t="str">
        <x:v>城市功能、阶层与交通长期沿坡度分布，步道连接的不只是地点</x:v>
      </x:c>
      <x:c r="F11" s="20" t="str">
        <x:v>十八梯就是老重庆的原貌</x:v>
      </x:c>
      <x:c r="G11" s="20" t="str">
        <x:v>谁每天需要走这些梯道，谁今天把它当景观？</x:v>
      </x:c>
      <x:c r="H11" s="20" t="str">
        <x:v>S1+S2</x:v>
      </x:c>
      <x:c r="I11" s="20" t="str">
        <x:v>https://www.shplanning.com.cn/archive/download/id/487.html</x:v>
      </x:c>
      <x:c r="J11" s="20" t="str">
        <x:v>https://ghzrzyj.cq.gov.cn/bsfw_186/dtfw/mzyt/202511/t20251124_15184222_wap.html</x:v>
      </x:c>
      <x:c r="K11" s="20" t="str">
        <x:v>访谈本地人校正表述</x:v>
      </x:c>
    </x:row>
    <x:row r="12" ht="66" customHeight="1">
      <x:c r="A12" s="20" t="str">
        <x:v>ST07</x:v>
      </x:c>
      <x:c r="B12" s="20" t="str">
        <x:v>城市更新如何制造“老街”</x:v>
      </x:c>
      <x:c r="C12" s="20" t="str">
        <x:v>十八梯、龙门浩、二厂</x:v>
      </x:c>
      <x:c r="D12" s="20" t="str">
        <x:v>辨认原构件、修复、新建和商业植入</x:v>
      </x:c>
      <x:c r="E12" s="20" t="str">
        <x:v>历史环境保护、改善生活与消费开发之间始终存在张力</x:v>
      </x:c>
      <x:c r="F12" s="20" t="str">
        <x:v>修得漂亮就等于保护成功/商业化就没有价值</x:v>
      </x:c>
      <x:c r="G12" s="20" t="str">
        <x:v>哪种更新让历史更可读，哪种只制造氛围？</x:v>
      </x:c>
      <x:c r="H12" s="20" t="str">
        <x:v>S1+S2</x:v>
      </x:c>
      <x:c r="I12" s="20" t="str">
        <x:v>https://www.cq.gov.cn/ywdt/jrcq/202605/t20260506_15650945.html</x:v>
      </x:c>
      <x:c r="J12" s="20" t="str">
        <x:v>https://eprints.whiterose.ac.uk/id/eprint/185301/</x:v>
      </x:c>
      <x:c r="K12" s="20" t="str">
        <x:v>建立更新对比照片模板</x:v>
      </x:c>
    </x:row>
    <x:row r="13" ht="66" customHeight="1">
      <x:c r="A13" s="20" t="str">
        <x:v>ST08</x:v>
      </x:c>
      <x:c r="B13" s="20" t="str">
        <x:v>重庆为什么成为抗战陪都</x:v>
      </x:c>
      <x:c r="C13" s="20" t="str">
        <x:v>三峡博物馆、中山四路、大轰炸遗址</x:v>
      </x:c>
      <x:c r="D13" s="20" t="str">
        <x:v>先看全国迁移，再看一条街的机构密度</x:v>
      </x:c>
      <x:c r="E13" s="20" t="str">
        <x:v>战时政府、工业、学校、媒体和国际机构内迁改变了重庆</x:v>
      </x:c>
      <x:c r="F13" s="20" t="str">
        <x:v>抗战重庆只等于红色旅游</x:v>
      </x:c>
      <x:c r="G13" s="20" t="str">
        <x:v>战争如何改变人口、工业、建筑和国际关系？</x:v>
      </x:c>
      <x:c r="H13" s="20" t="str">
        <x:v>S1</x:v>
      </x:c>
      <x:c r="I13" s="20" t="str">
        <x:v>https://www.cqyz.gov.cn/zjyz/lyyz/rmdkd/202210/t20221005_11164444.html</x:v>
      </x:c>
      <x:c r="J13" s="20" t="str">
        <x:v>https://www.cq.gov.cn/ywdt/zwhd/qxdt/202009/t20200907_8628081.html</x:v>
      </x:c>
      <x:c r="K13" s="20" t="str">
        <x:v>筛选三馆核心展项</x:v>
      </x:c>
    </x:row>
    <x:row r="14" ht="66" customHeight="1">
      <x:c r="A14" s="20" t="str">
        <x:v>ST09</x:v>
      </x:c>
      <x:c r="B14" s="20" t="str">
        <x:v>国际重庆不是今天才出现</x:v>
      </x:c>
      <x:c r="C14" s="20" t="str">
        <x:v>史迪威博物馆、开埠遗址公园</x:v>
      </x:c>
      <x:c r="D14" s="20" t="str">
        <x:v>对比1891开埠与二战盟国网络</x:v>
      </x:c>
      <x:c r="E14" s="20" t="str">
        <x:v>重庆的国际联系既包含被迫开放，也包含战时联盟与当代交流</x:v>
      </x:c>
      <x:c r="F14" s="20" t="str">
        <x:v>开埠就是现代化进步</x:v>
      </x:c>
      <x:c r="G14" s="20" t="str">
        <x:v>谁控制贸易和交通？当地人获得了什么，又失去了什么？</x:v>
      </x:c>
      <x:c r="H14" s="20" t="str">
        <x:v>S1</x:v>
      </x:c>
      <x:c r="I14" s="20" t="str">
        <x:v>https://www.cq.gov.cn/ywdt/zwhd/bmdt/202511/t20251113_15160016.html</x:v>
      </x:c>
      <x:c r="J14" s="20" t="str">
        <x:v>https://www.cq.gov.cn/zwgk/zfxxgkml/zdlyxxgk/ggwh/wh/zxdt/202605/t20260518_15684252.html</x:v>
      </x:c>
      <x:c r="K14" s="20" t="str">
        <x:v>请历史专家审阅英文表述</x:v>
      </x:c>
    </x:row>
    <x:row r="15" ht="66" customHeight="1">
      <x:c r="A15" s="20" t="str">
        <x:v>ST10</x:v>
      </x:c>
      <x:c r="B15" s="20" t="str">
        <x:v>单轨穿楼为什么不是噱头</x:v>
      </x:c>
      <x:c r="C15" s="20" t="str">
        <x:v>轨道2号线、李子坝</x:v>
      </x:c>
      <x:c r="D15" s="20" t="str">
        <x:v>先乘坐，再去观景台</x:v>
      </x:c>
      <x:c r="E15" s="20" t="str">
        <x:v>跨座式单轨、曲线半径、坡度与高架共同适应山地密集城市</x:v>
      </x:c>
      <x:c r="F15" s="20" t="str">
        <x:v>工程师为了网红故意让列车穿楼</x:v>
      </x:c>
      <x:c r="G15" s="20" t="str">
        <x:v>如果只拍一张照片，你错过了哪些系统性设计？</x:v>
      </x:c>
      <x:c r="H15" s="20" t="str">
        <x:v>S1+S2</x:v>
      </x:c>
      <x:c r="I15" s="20" t="str">
        <x:v>https://www.cq.gov.cn/ywdt/jrcq/202605/t20260528_15709853.html</x:v>
      </x:c>
      <x:c r="J15" s="20" t="str">
        <x:v>https://doi.org/10.17645/up.v7i4.5810</x:v>
      </x:c>
      <x:c r="K15" s="20" t="str">
        <x:v>实测方向与车厢</x:v>
      </x:c>
    </x:row>
    <x:row r="16" ht="66" customHeight="1">
      <x:c r="A16" s="20" t="str">
        <x:v>ST11</x:v>
      </x:c>
      <x:c r="B16" s="20" t="str">
        <x:v>山城步道是一套城市道路</x:v>
      </x:c>
      <x:c r="C16" s="20" t="str">
        <x:v>第三山城步道、黄葛古道</x:v>
      </x:c>
      <x:c r="D16" s="20" t="str">
        <x:v>记录送货、通学、休息、交往而不只拍景</x:v>
      </x:c>
      <x:c r="E16" s="20" t="str">
        <x:v>步道同时承担交通、商业、社区交往和文化展示</x:v>
      </x:c>
      <x:c r="F16" s="20" t="str">
        <x:v>步道是政府后来修的旅游景区</x:v>
      </x:c>
      <x:c r="G16" s="20" t="str">
        <x:v>哪些节点仍以居民需求为主？</x:v>
      </x:c>
      <x:c r="H16" s="20" t="str">
        <x:v>S2</x:v>
      </x:c>
      <x:c r="I16" s="20" t="str">
        <x:v>https://www.shplanning.com.cn/archive/download/id/487.html</x:v>
      </x:c>
      <x:c r="J16" s="20" t="str">
        <x:v>https://ghzrzyj.cq.gov.cn/ztlm_186/ghgb/zxgh/202507/P020250716371670706300.pdf</x:v>
      </x:c>
      <x:c r="K16" s="20" t="str">
        <x:v>记录坡度、座椅与使用者</x:v>
      </x:c>
    </x:row>
    <x:row r="17" ht="66" customHeight="1">
      <x:c r="A17" s="20" t="str">
        <x:v>ST12</x:v>
      </x:c>
      <x:c r="B17" s="20" t="str">
        <x:v>交通茶馆的摄影伦理</x:v>
      </x:c>
      <x:c r="C17" s="20" t="str">
        <x:v>交通茶馆</x:v>
      </x:c>
      <x:c r="D17" s="20" t="str">
        <x:v>先消费、观察，再征得同意拍摄</x:v>
      </x:c>
      <x:c r="E17" s="20" t="str">
        <x:v>真实感不是可免费获取的素材；熟客与经营者有空间权利</x:v>
      </x:c>
      <x:c r="F17" s="20" t="str">
        <x:v>老茶馆里的人都是可拍摄的民俗演员</x:v>
      </x:c>
      <x:c r="G17" s="20" t="str">
        <x:v>如果不拍照，这个空间还值得停留吗？</x:v>
      </x:c>
      <x:c r="H17" s="20" t="str">
        <x:v>S1+S2</x:v>
      </x:c>
      <x:c r="I17" s="20" t="str">
        <x:v>https://mzj.cq.gov.cn/sy_218/bmdt/mzyw/t_14233171.html</x:v>
      </x:c>
      <x:c r="J17" s="20" t="str">
        <x:v>https://eprints.whiterose.ac.uk/id/eprint/185301/</x:v>
      </x:c>
      <x:c r="K17" s="20" t="str">
        <x:v>与店方共定接待规则</x:v>
      </x:c>
    </x:row>
    <x:row r="18" ht="66" customHeight="1">
      <x:c r="A18" s="20" t="str">
        <x:v>ST13</x:v>
      </x:c>
      <x:c r="B18" s="20" t="str">
        <x:v>火锅是一套共享规则</x:v>
      </x:c>
      <x:c r="C18" s="20" t="str">
        <x:v>双语火锅体验</x:v>
      </x:c>
      <x:c r="D18" s="20" t="str">
        <x:v>让游客参与选锅底、油碟和下菜顺序</x:v>
      </x:c>
      <x:c r="E18" s="20" t="str">
        <x:v>火锅的价值是共同用餐、节奏与地方身份，不只是辣度挑战</x:v>
      </x:c>
      <x:c r="F18" s="20" t="str">
        <x:v>越辣越正宗；内脏是猎奇</x:v>
      </x:c>
      <x:c r="G18" s="20" t="str">
        <x:v>谁决定锅里先下什么？个人口味如何与集体共享协调？</x:v>
      </x:c>
      <x:c r="H18" s="20" t="str">
        <x:v>S1</x:v>
      </x:c>
      <x:c r="I18" s="20" t="str">
        <x:v>https://whlyw.cq.gov.cn/zjwl/szq/zqms/202411/t20241111_13787035.html</x:v>
      </x:c>
      <x:c r="J18" s="20" t="str">
        <x:v>https://whlyw.cq.gov.cn/zwgk_221/zfgkzcwj/qtwj/202607/t20260709_15810099.html</x:v>
      </x:c>
      <x:c r="K18" s="20" t="str">
        <x:v>做过敏与点菜卡</x:v>
      </x:c>
    </x:row>
    <x:row r="19" ht="66" customHeight="1">
      <x:c r="A19" s="20" t="str">
        <x:v>ST14</x:v>
      </x:c>
      <x:c r="B19" s="20" t="str">
        <x:v>无人机秀讲的是当代重庆</x:v>
      </x:c>
      <x:c r="C19" s="20" t="str">
        <x:v>两江四岸</x:v>
      </x:c>
      <x:c r="D19" s="20" t="str">
        <x:v>观察灯光、空域、人流与疏散协同</x:v>
      </x:c>
      <x:c r="E19" s="20" t="str">
        <x:v>它是城市品牌、低空技术和公共空间治理的综合产品</x:v>
      </x:c>
      <x:c r="F19" s="20" t="str">
        <x:v>这是重庆传统民俗</x:v>
      </x:c>
      <x:c r="G19" s="20" t="str">
        <x:v>当一座城市把天空变成舞台，谁在组织背后的系统？</x:v>
      </x:c>
      <x:c r="H19" s="20" t="str">
        <x:v>S1</x:v>
      </x:c>
      <x:c r="I19" s="20" t="str">
        <x:v>https://www.cq.gov.cn/ywdt/jrcq/202605/t20260531_15716501_app.html</x:v>
      </x:c>
      <x:c r="J19" s="20" t="str">
        <x:v>https://eprints.whiterose.ac.uk/id/eprint/185301/</x:v>
      </x:c>
      <x:c r="K19" s="20" t="str">
        <x:v>按月更新并记录取消率</x:v>
      </x:c>
    </x:row>
    <x:row r="20" ht="66" customHeight="1">
      <x:c r="A20" s="21" t="str">
        <x:v>ST15</x:v>
      </x:c>
      <x:c r="B20" s="21" t="str">
        <x:v>为什么不把所有热门点都塞进去</x:v>
      </x:c>
      <x:c r="C20" s="21" t="str">
        <x:v>整个路书</x:v>
      </x:c>
      <x:c r="D20" s="21" t="str">
        <x:v>显示转场、坡度、拥挤和恢复时间</x:v>
      </x:c>
      <x:c r="E20" s="21" t="str">
        <x:v>深度不是地点多，而是观察—解释—取舍—执行形成闭环</x:v>
      </x:c>
      <x:c r="F20" s="21" t="str">
        <x:v>付费路书必须比免费攻略多列景点</x:v>
      </x:c>
      <x:c r="G20" s="21" t="str">
        <x:v>删掉哪个点，反而让城市更容易被理解？</x:v>
      </x:c>
      <x:c r="H20" s="21" t="str">
        <x:v>S3</x:v>
      </x:c>
      <x:c r="I20" s="21" t="str">
        <x:v>https://www.reddit.com/r/travelchina/comments/1o74mfa/trip_report_for_chongqing_4_night_stay/</x:v>
      </x:c>
      <x:c r="J20" s="21" t="str">
        <x:v>https://www.reddit.com/r/travelchina/comments/1v4olqp/thoughts_on_my_chongqing_itinerary/</x:v>
      </x:c>
      <x:c r="K20" s="21" t="str">
        <x:v>实走后记录每次删减理由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0043439922641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42" hidden="0" customWidth="1"/>
    <x:col min="10" max="10" width="34" hidden="0" customWidth="1"/>
    <x:col min="11" max="11" width="40" hidden="0" customWidth="1"/>
  </x:cols>
  <x:sheetData>
    <x:row r="1" ht="32" customHeight="1">
      <x:c r="A1" s="3" t="str">
        <x:v>实地核验清单｜把网络内容变成可售卖产品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你是重庆人，最有价值的工作不是替我搜网页，而是做这些网络无法完成的判断。状态和结果列留给你更新。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11" t="str">
        <x:v>核验ID</x:v>
      </x:c>
      <x:c r="B5" s="11" t="str">
        <x:v>模块</x:v>
      </x:c>
      <x:c r="C5" s="11" t="str">
        <x:v>对象</x:v>
      </x:c>
      <x:c r="D5" s="11" t="str">
        <x:v>方式</x:v>
      </x:c>
      <x:c r="E5" s="11" t="str">
        <x:v>优先级</x:v>
      </x:c>
      <x:c r="F5" s="11" t="str">
        <x:v>状态</x:v>
      </x:c>
      <x:c r="G5" s="11" t="str">
        <x:v>核验人</x:v>
      </x:c>
      <x:c r="H5" s="11" t="str">
        <x:v>核验日期</x:v>
      </x:c>
      <x:c r="I5" s="11" t="str">
        <x:v>必须记录</x:v>
      </x:c>
      <x:c r="J5" s="11" t="str">
        <x:v>合格交付物</x:v>
      </x:c>
      <x:c r="K5" s="11" t="str">
        <x:v>来源URL</x:v>
      </x:c>
    </x:row>
    <x:row r="6" ht="50" customHeight="1">
      <x:c r="A6" s="19" t="str">
        <x:v>FV001</x:v>
      </x:c>
      <x:c r="B6" s="19" t="str">
        <x:v>D1</x:v>
      </x:c>
      <x:c r="C6" s="19" t="str">
        <x:v>解放碑→罗汉寺→魁星楼</x:v>
      </x:c>
      <x:c r="D6" s="19" t="str">
        <x:v>完整实走</x:v>
      </x:c>
      <x:c r="E6" s="19" t="str">
        <x:v>最高</x:v>
      </x:c>
      <x:c r="F6" s="19" t="str">
        <x:v>未开始</x:v>
      </x:c>
      <x:c r="G6" s="19" t="str"/>
      <x:c r="H6" s="32" t="str"/>
      <x:c r="I6" s="19" t="str">
        <x:v>门到门时间、入口层级、洗手间、清晨人流</x:v>
      </x:c>
      <x:c r="J6" s="19" t="str">
        <x:v>一张可执行入口图</x:v>
      </x:c>
      <x:c r="K6" s="19" t="str">
        <x:v>https://www.reddit.com/r/travelchina/comments/1t4cdvm/help_planning_chongqing/</x:v>
      </x:c>
    </x:row>
    <x:row r="7" ht="50" customHeight="1">
      <x:c r="A7" s="20" t="str">
        <x:v>FV002</x:v>
      </x:c>
      <x:c r="B7" s="20" t="str">
        <x:v>D1</x:v>
      </x:c>
      <x:c r="C7" s="20" t="str">
        <x:v>朝天门江岸</x:v>
      </x:c>
      <x:c r="D7" s="20" t="str">
        <x:v>入口核验</x:v>
      </x:c>
      <x:c r="E7" s="20" t="str">
        <x:v>最高</x:v>
      </x:c>
      <x:c r="F7" s="20" t="str">
        <x:v>未开始</x:v>
      </x:c>
      <x:c r="G7" s="20" t="str"/>
      <x:c r="H7" s="33" t="str"/>
      <x:c r="I7" s="20" t="str">
        <x:v>地铁出口到江岸、落客点、座椅、暴晒</x:v>
      </x:c>
      <x:c r="J7" s="20" t="str">
        <x:v>白天/雨天两条进入路径</x:v>
      </x:c>
      <x:c r="K7" s="20" t="str">
        <x:v>https://www.cq.gov.cn/zwgk/zfxxgkml/zdlyxxgk/ggwh/ly/zxdt/202511/t20251107_15146900.html</x:v>
      </x:c>
    </x:row>
    <x:row r="8" ht="50" customHeight="1">
      <x:c r="A8" s="20" t="str">
        <x:v>FV003</x:v>
      </x:c>
      <x:c r="B8" s="20" t="str">
        <x:v>D1</x:v>
      </x:c>
      <x:c r="C8" s="20" t="str">
        <x:v>洪崖洞→千厮门→大剧院</x:v>
      </x:c>
      <x:c r="D8" s="20" t="str">
        <x:v>夜间实走</x:v>
      </x:c>
      <x:c r="E8" s="20" t="str">
        <x:v>最高</x:v>
      </x:c>
      <x:c r="F8" s="20" t="str">
        <x:v>未开始</x:v>
      </x:c>
      <x:c r="G8" s="20" t="str"/>
      <x:c r="H8" s="33" t="str"/>
      <x:c r="I8" s="20" t="str">
        <x:v>亮灯、人流、桥面风、退出点、返程</x:v>
      </x:c>
      <x:c r="J8" s="20" t="str">
        <x:v>45分钟与90分钟两个版本</x:v>
      </x:c>
      <x:c r="K8" s="20" t="str">
        <x:v>https://www.cq.gov.cn/ywdt/jrcq/202605/t20260531_15716501_app.html</x:v>
      </x:c>
    </x:row>
    <x:row r="9" ht="50" customHeight="1">
      <x:c r="A9" s="20" t="str">
        <x:v>FV004</x:v>
      </x:c>
      <x:c r="B9" s="20" t="str">
        <x:v>D1</x:v>
      </x:c>
      <x:c r="C9" s="20" t="str">
        <x:v>无人机秀</x:v>
      </x:c>
      <x:c r="D9" s="20" t="str">
        <x:v>排期+人流</x:v>
      </x:c>
      <x:c r="E9" s="20" t="str">
        <x:v>高</x:v>
      </x:c>
      <x:c r="F9" s="20" t="str">
        <x:v>未开始</x:v>
      </x:c>
      <x:c r="G9" s="20" t="str"/>
      <x:c r="H9" s="33" t="str"/>
      <x:c r="I9" s="20" t="str">
        <x:v>观赏区、提前到达、封控、疏散、取消</x:v>
      </x:c>
      <x:c r="J9" s="20" t="str">
        <x:v>按月更新规则</x:v>
      </x:c>
      <x:c r="K9" s="20" t="str">
        <x:v>https://www.cq.gov.cn/ywdt/jrcq/202605/t20260531_15716501_app.html</x:v>
      </x:c>
    </x:row>
    <x:row r="10" ht="50" customHeight="1">
      <x:c r="A10" s="20" t="str">
        <x:v>FV005</x:v>
      </x:c>
      <x:c r="B10" s="20" t="str">
        <x:v>D2</x:v>
      </x:c>
      <x:c r="C10" s="20" t="str">
        <x:v>湖广会馆</x:v>
      </x:c>
      <x:c r="D10" s="20" t="str">
        <x:v>电话+现场</x:v>
      </x:c>
      <x:c r="E10" s="20" t="str">
        <x:v>最高</x:v>
      </x:c>
      <x:c r="F10" s="20" t="str">
        <x:v>未开始</x:v>
      </x:c>
      <x:c r="G10" s="20" t="str"/>
      <x:c r="H10" s="33" t="str"/>
      <x:c r="I10" s="20" t="str">
        <x:v>护照票务、英文导览、演出、拍摄、团体</x:v>
      </x:c>
      <x:c r="J10" s="20" t="str">
        <x:v>英语讲解可承诺范围</x:v>
      </x:c>
      <x:c r="K10" s="20" t="str">
        <x:v>https://whlyw.cq.gov.cn/hdjl_221/xzzq/202601/t20260115_15320860.html</x:v>
      </x:c>
    </x:row>
    <x:row r="11" ht="50" customHeight="1">
      <x:c r="A11" s="20" t="str">
        <x:v>FV006</x:v>
      </x:c>
      <x:c r="B11" s="20" t="str">
        <x:v>D2</x:v>
      </x:c>
      <x:c r="C11" s="20" t="str">
        <x:v>湖广会馆→东水门→白象街</x:v>
      </x:c>
      <x:c r="D11" s="20" t="str">
        <x:v>完整实走</x:v>
      </x:c>
      <x:c r="E11" s="20" t="str">
        <x:v>最高</x:v>
      </x:c>
      <x:c r="F11" s="20" t="str">
        <x:v>未开始</x:v>
      </x:c>
      <x:c r="G11" s="20" t="str"/>
      <x:c r="H11" s="33" t="str"/>
      <x:c r="I11" s="20" t="str">
        <x:v>连通路径、台阶、迷路点、历史建筑开放</x:v>
      </x:c>
      <x:c r="J11" s="20" t="str">
        <x:v>小地图和转场分钟</x:v>
      </x:c>
      <x:c r="K11" s="20" t="str">
        <x:v>https://whlyw.cq.gov.cn/zjwl/yzq/cqwlzy/zqwwzy/202405/t20240507_13182468.html</x:v>
      </x:c>
    </x:row>
    <x:row r="12" ht="50" customHeight="1">
      <x:c r="A12" s="20" t="str">
        <x:v>FV007</x:v>
      </x:c>
      <x:c r="B12" s="20" t="str">
        <x:v>D2</x:v>
      </x:c>
      <x:c r="C12" s="20" t="str">
        <x:v>白象居公共边界</x:v>
      </x:c>
      <x:c r="D12" s="20" t="str">
        <x:v>本地判断</x:v>
      </x:c>
      <x:c r="E12" s="20" t="str">
        <x:v>最高</x:v>
      </x:c>
      <x:c r="F12" s="20" t="str">
        <x:v>未开始</x:v>
      </x:c>
      <x:c r="G12" s="20" t="str"/>
      <x:c r="H12" s="33" t="str"/>
      <x:c r="I12" s="20" t="str">
        <x:v>公共通道、消防、居民隐私、摄影边界</x:v>
      </x:c>
      <x:c r="J12" s="20" t="str">
        <x:v>明确可走/不可走清单</x:v>
      </x:c>
      <x:c r="K12" s="20" t="str">
        <x:v>https://eprints.whiterose.ac.uk/id/eprint/185301/</x:v>
      </x:c>
    </x:row>
    <x:row r="13" ht="50" customHeight="1">
      <x:c r="A13" s="20" t="str">
        <x:v>FV008</x:v>
      </x:c>
      <x:c r="B13" s="20" t="str">
        <x:v>D2</x:v>
      </x:c>
      <x:c r="C13" s="20" t="str">
        <x:v>通远门→山城巷自上而下</x:v>
      </x:c>
      <x:c r="D13" s="20" t="str">
        <x:v>完整实走</x:v>
      </x:c>
      <x:c r="E13" s="20" t="str">
        <x:v>最高</x:v>
      </x:c>
      <x:c r="F13" s="20" t="str">
        <x:v>未开始</x:v>
      </x:c>
      <x:c r="G13" s="20" t="str"/>
      <x:c r="H13" s="33" t="str"/>
      <x:c r="I13" s="20" t="str">
        <x:v>步数、坡度、座椅、饮水、厕所、退出点</x:v>
      </x:c>
      <x:c r="J13" s="20" t="str">
        <x:v>高体力与中体力版本</x:v>
      </x:c>
      <x:c r="K13" s="20" t="str">
        <x:v>https://www.shplanning.com.cn/archive/download/id/487.html</x:v>
      </x:c>
    </x:row>
    <x:row r="14" ht="50" customHeight="1">
      <x:c r="A14" s="20" t="str">
        <x:v>FV009</x:v>
      </x:c>
      <x:c r="B14" s="20" t="str">
        <x:v>D2</x:v>
      </x:c>
      <x:c r="C14" s="20" t="str">
        <x:v>十八梯</x:v>
      </x:c>
      <x:c r="D14" s="20" t="str">
        <x:v>取舍测试</x:v>
      </x:c>
      <x:c r="E14" s="20" t="str">
        <x:v>中</x:v>
      </x:c>
      <x:c r="F14" s="20" t="str">
        <x:v>未开始</x:v>
      </x:c>
      <x:c r="G14" s="20" t="str"/>
      <x:c r="H14" s="33" t="str"/>
      <x:c r="I14" s="20" t="str">
        <x:v>只通行30分钟是否足够、拥挤阈值</x:v>
      </x:c>
      <x:c r="J14" s="20" t="str">
        <x:v>保留或删除决定</x:v>
      </x:c>
      <x:c r="K14" s="20" t="str">
        <x:v>https://ghzrzyj.cq.gov.cn/bsfw_186/dtfw/mzyt/202511/t20251124_15184222_wap.html</x:v>
      </x:c>
    </x:row>
    <x:row r="15" ht="50" customHeight="1">
      <x:c r="A15" s="20" t="str">
        <x:v>FV010</x:v>
      </x:c>
      <x:c r="B15" s="20" t="str">
        <x:v>D2</x:v>
      </x:c>
      <x:c r="C15" s="20" t="str">
        <x:v>大轰炸遗址陈列馆</x:v>
      </x:c>
      <x:c r="D15" s="20" t="str">
        <x:v>内容核验</x:v>
      </x:c>
      <x:c r="E15" s="20" t="str">
        <x:v>高</x:v>
      </x:c>
      <x:c r="F15" s="20" t="str">
        <x:v>未开始</x:v>
      </x:c>
      <x:c r="G15" s="20" t="str"/>
      <x:c r="H15" s="33" t="str"/>
      <x:c r="I15" s="20" t="str">
        <x:v>英文、适龄、情绪强度、开放</x:v>
      </x:c>
      <x:c r="J15" s="20" t="str">
        <x:v>内容预警与恢复安排</x:v>
      </x:c>
      <x:c r="K15" s="20" t="str">
        <x:v>https://whlyw.cq.gov.cn/zwxx_221/bmdt/tzgg/202601/t20260115_15320690.html</x:v>
      </x:c>
    </x:row>
    <x:row r="16" ht="50" customHeight="1">
      <x:c r="A16" s="20" t="str">
        <x:v>FV011</x:v>
      </x:c>
      <x:c r="B16" s="20" t="str">
        <x:v>D3</x:v>
      </x:c>
      <x:c r="C16" s="20" t="str">
        <x:v>三峡博物馆</x:v>
      </x:c>
      <x:c r="D16" s="20" t="str">
        <x:v>护照+展厅</x:v>
      </x:c>
      <x:c r="E16" s="20" t="str">
        <x:v>最高</x:v>
      </x:c>
      <x:c r="F16" s="20" t="str">
        <x:v>未开始</x:v>
      </x:c>
      <x:c r="G16" s="20" t="str"/>
      <x:c r="H16" s="33" t="str"/>
      <x:c r="I16" s="20" t="str">
        <x:v>护照入馆、英文展签、3个核心展厅、周一替代</x:v>
      </x:c>
      <x:c r="J16" s="20" t="str">
        <x:v>90/150分钟版本</x:v>
      </x:c>
      <x:c r="K16" s="20" t="str">
        <x:v>https://www.3gmuseum.cn/web/article/1430010139317059584/web/content_1430010139317059584.html</x:v>
      </x:c>
    </x:row>
    <x:row r="17" ht="50" customHeight="1">
      <x:c r="A17" s="20" t="str">
        <x:v>FV012</x:v>
      </x:c>
      <x:c r="B17" s="20" t="str">
        <x:v>D3</x:v>
      </x:c>
      <x:c r="C17" s="20" t="str">
        <x:v>中山四路三馆</x:v>
      </x:c>
      <x:c r="D17" s="20" t="str">
        <x:v>逐馆核验</x:v>
      </x:c>
      <x:c r="E17" s="20" t="str">
        <x:v>最高</x:v>
      </x:c>
      <x:c r="F17" s="20" t="str">
        <x:v>未开始</x:v>
      </x:c>
      <x:c r="G17" s="20" t="str"/>
      <x:c r="H17" s="33" t="str"/>
      <x:c r="I17" s="20" t="str">
        <x:v>开放日、安检、英文、拍摄、连线</x:v>
      </x:c>
      <x:c r="J17" s="20" t="str">
        <x:v>周一与普通日两个版本</x:v>
      </x:c>
      <x:c r="K17" s="20" t="str">
        <x:v>https://www.cqyz.gov.cn/zjyz/lyyz/rmdkd/202210/t20221005_11164444.html</x:v>
      </x:c>
    </x:row>
    <x:row r="18" ht="50" customHeight="1">
      <x:c r="A18" s="20" t="str">
        <x:v>FV013</x:v>
      </x:c>
      <x:c r="B18" s="20" t="str">
        <x:v>D3</x:v>
      </x:c>
      <x:c r="C18" s="20" t="str">
        <x:v>史迪威博物馆</x:v>
      </x:c>
      <x:c r="D18" s="20" t="str">
        <x:v>电话+现场</x:v>
      </x:c>
      <x:c r="E18" s="20" t="str">
        <x:v>最高</x:v>
      </x:c>
      <x:c r="F18" s="20" t="str">
        <x:v>未开始</x:v>
      </x:c>
      <x:c r="G18" s="20" t="str"/>
      <x:c r="H18" s="33" t="str"/>
      <x:c r="I18" s="20" t="str">
        <x:v>英文讲解、预约、展览、团队、拍摄</x:v>
      </x:c>
      <x:c r="J18" s="20" t="str">
        <x:v>国际客群讲解模块</x:v>
      </x:c>
      <x:c r="K18" s="20" t="str">
        <x:v>https://www.cq.gov.cn/zwgk/zfxxgkml/zdlyxxgk/ggwh/wh/zxdt/202605/t20260518_15684252.html</x:v>
      </x:c>
    </x:row>
    <x:row r="19" ht="50" customHeight="1">
      <x:c r="A19" s="20" t="str">
        <x:v>FV014</x:v>
      </x:c>
      <x:c r="B19" s="20" t="str">
        <x:v>D3</x:v>
      </x:c>
      <x:c r="C19" s="20" t="str">
        <x:v>2号线乘车</x:v>
      </x:c>
      <x:c r="D19" s="20" t="str">
        <x:v>实测</x:v>
      </x:c>
      <x:c r="E19" s="20" t="str">
        <x:v>最高</x:v>
      </x:c>
      <x:c r="F19" s="20" t="str">
        <x:v>未开始</x:v>
      </x:c>
      <x:c r="G19" s="20" t="str"/>
      <x:c r="H19" s="33" t="str"/>
      <x:c r="I19" s="20" t="str">
        <x:v>方向、车厢、时段、沿途观察点</x:v>
      </x:c>
      <x:c r="J19" s="20" t="str">
        <x:v>车内观察脚本</x:v>
      </x:c>
      <x:c r="K19" s="20" t="str">
        <x:v>https://www.cq.gov.cn/ywdt/jrcq/202605/t20260528_15709853.html</x:v>
      </x:c>
    </x:row>
    <x:row r="20" ht="50" customHeight="1">
      <x:c r="A20" s="20" t="str">
        <x:v>FV015</x:v>
      </x:c>
      <x:c r="B20" s="20" t="str">
        <x:v>D3</x:v>
      </x:c>
      <x:c r="C20" s="20" t="str">
        <x:v>李子坝施工</x:v>
      </x:c>
      <x:c r="D20" s="20" t="str">
        <x:v>每月复核</x:v>
      </x:c>
      <x:c r="E20" s="20" t="str">
        <x:v>最高</x:v>
      </x:c>
      <x:c r="F20" s="20" t="str">
        <x:v>未开始</x:v>
      </x:c>
      <x:c r="G20" s="20" t="str"/>
      <x:c r="H20" s="33" t="str"/>
      <x:c r="I20" s="20" t="str">
        <x:v>出入口、扶梯、封闭区、观景台动线</x:v>
      </x:c>
      <x:c r="J20" s="20" t="str">
        <x:v>2026-12-30前动态提示</x:v>
      </x:c>
      <x:c r="K20" s="20" t="str">
        <x:v>https://www.cq.gov.cn/ywdt/jrcq/202606/t20260613_15751500.html</x:v>
      </x:c>
    </x:row>
    <x:row r="21" ht="50" customHeight="1">
      <x:c r="A21" s="20" t="str">
        <x:v>FV016</x:v>
      </x:c>
      <x:c r="B21" s="20" t="str">
        <x:v>D3</x:v>
      </x:c>
      <x:c r="C21" s="20" t="str">
        <x:v>鹅岭公园</x:v>
      </x:c>
      <x:c r="D21" s="20" t="str">
        <x:v>时段测试</x:v>
      </x:c>
      <x:c r="E21" s="20" t="str">
        <x:v>中</x:v>
      </x:c>
      <x:c r="F21" s="20" t="str">
        <x:v>未开始</x:v>
      </x:c>
      <x:c r="G21" s="20" t="str"/>
      <x:c r="H21" s="33" t="str"/>
      <x:c r="I21" s="20" t="str">
        <x:v>瞰胜楼开放、日落、雾、座椅、返程</x:v>
      </x:c>
      <x:c r="J21" s="20" t="str">
        <x:v>能见度删除规则</x:v>
      </x:c>
      <x:c r="K21" s="20" t="str">
        <x:v>https://ghzrzyj.cq.gov.cn/ztlm_186/ghgb/zxgh/202507/P020250716371670706300.pdf</x:v>
      </x:c>
    </x:row>
    <x:row r="22" ht="50" customHeight="1">
      <x:c r="A22" s="20" t="str">
        <x:v>FV017</x:v>
      </x:c>
      <x:c r="B22" s="20" t="str">
        <x:v>D4A</x:v>
      </x:c>
      <x:c r="C22" s="20" t="str">
        <x:v>开埠遗址公园</x:v>
      </x:c>
      <x:c r="D22" s="20" t="str">
        <x:v>电话+现场</x:v>
      </x:c>
      <x:c r="E22" s="20" t="str">
        <x:v>最高</x:v>
      </x:c>
      <x:c r="F22" s="20" t="str">
        <x:v>未开始</x:v>
      </x:c>
      <x:c r="G22" s="20" t="str"/>
      <x:c r="H22" s="33" t="str"/>
      <x:c r="I22" s="20" t="str">
        <x:v>开放建筑、展陈英文、票务、导览</x:v>
      </x:c>
      <x:c r="J22" s="20" t="str">
        <x:v>90分钟内容线</x:v>
      </x:c>
      <x:c r="K22" s="20" t="str">
        <x:v>https://www.cq.gov.cn/ywdt/jrcq/202605/t20260506_15650945.html</x:v>
      </x:c>
    </x:row>
    <x:row r="23" ht="50" customHeight="1">
      <x:c r="A23" s="20" t="str">
        <x:v>FV018</x:v>
      </x:c>
      <x:c r="B23" s="20" t="str">
        <x:v>D4A</x:v>
      </x:c>
      <x:c r="C23" s="20" t="str">
        <x:v>黄葛古道</x:v>
      </x:c>
      <x:c r="D23" s="20" t="str">
        <x:v>完整实走</x:v>
      </x:c>
      <x:c r="E23" s="20" t="str">
        <x:v>最高</x:v>
      </x:c>
      <x:c r="F23" s="20" t="str">
        <x:v>未开始</x:v>
      </x:c>
      <x:c r="G23" s="20" t="str"/>
      <x:c r="H23" s="33" t="str"/>
      <x:c r="I23" s="20" t="str">
        <x:v>上/下行差异、坡度、补水、厕所、退出</x:v>
      </x:c>
      <x:c r="J23" s="20" t="str">
        <x:v>徒步风险分级</x:v>
      </x:c>
      <x:c r="K23" s="20" t="str">
        <x:v>https://www.shplanning.com.cn/archive/download/id/487.html</x:v>
      </x:c>
    </x:row>
    <x:row r="24" ht="50" customHeight="1">
      <x:c r="A24" s="20" t="str">
        <x:v>FV019</x:v>
      </x:c>
      <x:c r="B24" s="20" t="str">
        <x:v>D4A</x:v>
      </x:c>
      <x:c r="C24" s="20" t="str">
        <x:v>黄桷垭午餐与返程</x:v>
      </x:c>
      <x:c r="D24" s="20" t="str">
        <x:v>供应核验</x:v>
      </x:c>
      <x:c r="E24" s="20" t="str">
        <x:v>高</x:v>
      </x:c>
      <x:c r="F24" s="20" t="str">
        <x:v>未开始</x:v>
      </x:c>
      <x:c r="G24" s="20" t="str"/>
      <x:c r="H24" s="33" t="str"/>
      <x:c r="I24" s="20" t="str">
        <x:v>餐饮、非辣、座位、打车、公交</x:v>
      </x:c>
      <x:c r="J24" s="20" t="str">
        <x:v>恢复节点清单</x:v>
      </x:c>
      <x:c r="K24" s="20" t="str">
        <x:v>https://ghzrzyj.cq.gov.cn/bsfw_186/dtfw/mzyt/202511/t20251124_15184222_wap.html</x:v>
      </x:c>
    </x:row>
    <x:row r="25" ht="50" customHeight="1">
      <x:c r="A25" s="20" t="str">
        <x:v>FV020</x:v>
      </x:c>
      <x:c r="B25" s="20" t="str">
        <x:v>D4A</x:v>
      </x:c>
      <x:c r="C25" s="20" t="str">
        <x:v>龙门浩—下浩里</x:v>
      </x:c>
      <x:c r="D25" s="20" t="str">
        <x:v>完整实走</x:v>
      </x:c>
      <x:c r="E25" s="20" t="str">
        <x:v>最高</x:v>
      </x:c>
      <x:c r="F25" s="20" t="str">
        <x:v>未开始</x:v>
      </x:c>
      <x:c r="G25" s="20" t="str"/>
      <x:c r="H25" s="33" t="str"/>
      <x:c r="I25" s="20" t="str">
        <x:v>上层低体力入口、台阶、日落、夜归</x:v>
      </x:c>
      <x:c r="J25" s="20" t="str">
        <x:v>高/低体力双动线</x:v>
      </x:c>
      <x:c r="K25" s="20" t="str">
        <x:v>https://www.cq.gov.cn/ywdt/zwhd/bmdt/202511/t20251113_15160016.html</x:v>
      </x:c>
    </x:row>
    <x:row r="26" ht="50" customHeight="1">
      <x:c r="A26" s="20" t="str">
        <x:v>FV021</x:v>
      </x:c>
      <x:c r="B26" s="20" t="str">
        <x:v>D4B</x:v>
      </x:c>
      <x:c r="C26" s="20" t="str">
        <x:v>交通茶馆</x:v>
      </x:c>
      <x:c r="D26" s="20" t="str">
        <x:v>商户访谈</x:v>
      </x:c>
      <x:c r="E26" s="20" t="str">
        <x:v>最高</x:v>
      </x:c>
      <x:c r="F26" s="20" t="str">
        <x:v>未开始</x:v>
      </x:c>
      <x:c r="G26" s="20" t="str"/>
      <x:c r="H26" s="33" t="str"/>
      <x:c r="I26" s="20" t="str">
        <x:v>团队人数、拍摄、价格、英语、取消</x:v>
      </x:c>
      <x:c r="J26" s="20" t="str">
        <x:v>摄影伦理和接待规则</x:v>
      </x:c>
      <x:c r="K26" s="20" t="str">
        <x:v>https://mzj.cq.gov.cn/sy_218/bmdt/mzyw/t_14233171.html</x:v>
      </x:c>
    </x:row>
    <x:row r="27" ht="50" customHeight="1">
      <x:c r="A27" s="20" t="str">
        <x:v>FV022</x:v>
      </x:c>
      <x:c r="B27" s="20" t="str">
        <x:v>D4B</x:v>
      </x:c>
      <x:c r="C27" s="20" t="str">
        <x:v>黄桷坪—川美周边</x:v>
      </x:c>
      <x:c r="D27" s="20" t="str">
        <x:v>现场+校方</x:v>
      </x:c>
      <x:c r="E27" s="20" t="str">
        <x:v>高</x:v>
      </x:c>
      <x:c r="F27" s="20" t="str">
        <x:v>未开始</x:v>
      </x:c>
      <x:c r="G27" s="20" t="str"/>
      <x:c r="H27" s="33" t="str"/>
      <x:c r="I27" s="20" t="str">
        <x:v>校园开放、展览、墙面更新、洗手间</x:v>
      </x:c>
      <x:c r="J27" s="20" t="str">
        <x:v>艺术客群模块</x:v>
      </x:c>
      <x:c r="K27" s="20" t="str">
        <x:v>https://mzj.cq.gov.cn/sy_218/bmdt/mzyw/t_14233171.html</x:v>
      </x:c>
    </x:row>
    <x:row r="28" ht="50" customHeight="1">
      <x:c r="A28" s="20" t="str">
        <x:v>FV023</x:v>
      </x:c>
      <x:c r="B28" s="20" t="str">
        <x:v>D4B</x:v>
      </x:c>
      <x:c r="C28" s="20" t="str">
        <x:v>建川博物馆聚落</x:v>
      </x:c>
      <x:c r="D28" s="20" t="str">
        <x:v>完整实走</x:v>
      </x:c>
      <x:c r="E28" s="20" t="str">
        <x:v>高</x:v>
      </x:c>
      <x:c r="F28" s="20" t="str">
        <x:v>未开始</x:v>
      </x:c>
      <x:c r="G28" s="20" t="str"/>
      <x:c r="H28" s="33" t="str"/>
      <x:c r="I28" s="20" t="str">
        <x:v>票务、英文、洞内温湿度、儿童、台阶</x:v>
      </x:c>
      <x:c r="J28" s="20" t="str">
        <x:v>120/180分钟版本</x:v>
      </x:c>
      <x:c r="K28" s="20" t="str">
        <x:v>https://whlyw.cq.gov.cn/hdjl_221/xzzq/202601/t20260115_15320860.html</x:v>
      </x:c>
    </x:row>
    <x:row r="29" ht="50" customHeight="1">
      <x:c r="A29" s="20" t="str">
        <x:v>FV024</x:v>
      </x:c>
      <x:c r="B29" s="20" t="str">
        <x:v>食物</x:v>
      </x:c>
      <x:c r="C29" s="20" t="str">
        <x:v>小面候选6家</x:v>
      </x:c>
      <x:c r="D29" s="20" t="str">
        <x:v>暗访/点单</x:v>
      </x:c>
      <x:c r="E29" s="20" t="str">
        <x:v>高</x:v>
      </x:c>
      <x:c r="F29" s="20" t="str">
        <x:v>未开始</x:v>
      </x:c>
      <x:c r="G29" s="20" t="str"/>
      <x:c r="H29" s="33" t="str"/>
      <x:c r="I29" s="20" t="str">
        <x:v>外籍独立点单、辣度、卫生、支付、座位</x:v>
      </x:c>
      <x:c r="J29" s="20" t="str">
        <x:v>住宿区早餐地图</x:v>
      </x:c>
      <x:c r="K29" s="20" t="str">
        <x:v>https://whlyw.cq.gov.cn/zwgk_221/zfgkzcwj/qtwj/202607/t20260709_15810099.html</x:v>
      </x:c>
    </x:row>
    <x:row r="30" ht="50" customHeight="1">
      <x:c r="A30" s="20" t="str">
        <x:v>FV025</x:v>
      </x:c>
      <x:c r="B30" s="20" t="str">
        <x:v>食物</x:v>
      </x:c>
      <x:c r="C30" s="20" t="str">
        <x:v>火锅候选3家</x:v>
      </x:c>
      <x:c r="D30" s="20" t="str">
        <x:v>试吃+访谈</x:v>
      </x:c>
      <x:c r="E30" s="20" t="str">
        <x:v>最高</x:v>
      </x:c>
      <x:c r="F30" s="20" t="str">
        <x:v>未开始</x:v>
      </x:c>
      <x:c r="G30" s="20" t="str"/>
      <x:c r="H30" s="33" t="str"/>
      <x:c r="I30" s="20" t="str">
        <x:v>英语、过敏、素食、价格、拍摄、取消、安全</x:v>
      </x:c>
      <x:c r="J30" s="20" t="str">
        <x:v>可预约火锅体验SOP</x:v>
      </x:c>
      <x:c r="K30" s="20" t="str">
        <x:v>https://whlyw.cq.gov.cn/zwgk_221/zfgkzcwj/qtwj/202607/t20260709_15810099.html</x:v>
      </x:c>
    </x:row>
    <x:row r="31" ht="50" customHeight="1">
      <x:c r="A31" s="20" t="str">
        <x:v>FV026</x:v>
      </x:c>
      <x:c r="B31" s="20" t="str">
        <x:v>夜间</x:v>
      </x:c>
      <x:c r="C31" s="20" t="str">
        <x:v>川剧/地方演出</x:v>
      </x:c>
      <x:c r="D31" s="20" t="str">
        <x:v>机构访谈</x:v>
      </x:c>
      <x:c r="E31" s="20" t="str">
        <x:v>高</x:v>
      </x:c>
      <x:c r="F31" s="20" t="str">
        <x:v>未开始</x:v>
      </x:c>
      <x:c r="G31" s="20" t="str"/>
      <x:c r="H31" s="33" t="str"/>
      <x:c r="I31" s="20" t="str">
        <x:v>英语、资历、后台互动、人数、价格、影像权</x:v>
      </x:c>
      <x:c r="J31" s="20" t="str">
        <x:v>雨天/夜间产品模块</x:v>
      </x:c>
      <x:c r="K31" s="20" t="str">
        <x:v>https://whlyw.cq.gov.cn/hdjl_221/xzzq/202601/t20260115_15320860.html</x:v>
      </x:c>
    </x:row>
    <x:row r="32" ht="50" customHeight="1">
      <x:c r="A32" s="20" t="str">
        <x:v>FV027</x:v>
      </x:c>
      <x:c r="B32" s="20" t="str">
        <x:v>通用</x:v>
      </x:c>
      <x:c r="C32" s="20" t="str">
        <x:v>Google/高德/百度坐标对照</x:v>
      </x:c>
      <x:c r="D32" s="20" t="str">
        <x:v>逐点测试</x:v>
      </x:c>
      <x:c r="E32" s="20" t="str">
        <x:v>最高</x:v>
      </x:c>
      <x:c r="F32" s="20" t="str">
        <x:v>未开始</x:v>
      </x:c>
      <x:c r="G32" s="20" t="str"/>
      <x:c r="H32" s="33" t="str"/>
      <x:c r="I32" s="20" t="str">
        <x:v>中文名、坐标、入口照片、出口、高差</x:v>
      </x:c>
      <x:c r="J32" s="20" t="str">
        <x:v>外国游客导航卡</x:v>
      </x:c>
      <x:c r="K32" s="20" t="str">
        <x:v>https://www.reddit.com/r/travelchina/comments/1t4cdvm/help_planning_chongqing/</x:v>
      </x:c>
    </x:row>
    <x:row r="33" ht="50" customHeight="1">
      <x:c r="A33" s="20" t="str">
        <x:v>FV028</x:v>
      </x:c>
      <x:c r="B33" s="20" t="str">
        <x:v>通用</x:v>
      </x:c>
      <x:c r="C33" s="20" t="str">
        <x:v>低台阶平行路线</x:v>
      </x:c>
      <x:c r="D33" s="20" t="str">
        <x:v>陪同实走</x:v>
      </x:c>
      <x:c r="E33" s="20" t="str">
        <x:v>高</x:v>
      </x:c>
      <x:c r="F33" s="20" t="str">
        <x:v>未开始</x:v>
      </x:c>
      <x:c r="G33" s="20" t="str"/>
      <x:c r="H33" s="33" t="str"/>
      <x:c r="I33" s="20" t="str">
        <x:v>轮椅/婴儿车、电梯、落客、座椅、厕所</x:v>
      </x:c>
      <x:c r="J33" s="20" t="str">
        <x:v>第二版低体力路线</x:v>
      </x:c>
      <x:c r="K33" s="20" t="str">
        <x:v>https://www.shplanning.com.cn/archive/download/id/487.html</x:v>
      </x:c>
    </x:row>
    <x:row r="34" ht="50" customHeight="1">
      <x:c r="A34" s="20" t="str">
        <x:v>FV029</x:v>
      </x:c>
      <x:c r="B34" s="20" t="str">
        <x:v>住宿</x:v>
      </x:c>
      <x:c r="C34" s="20" t="str">
        <x:v>解放碑/小什字落客</x:v>
      </x:c>
      <x:c r="D34" s="20" t="str">
        <x:v>酒店核验</x:v>
      </x:c>
      <x:c r="E34" s="20" t="str">
        <x:v>高</x:v>
      </x:c>
      <x:c r="F34" s="20" t="str">
        <x:v>未开始</x:v>
      </x:c>
      <x:c r="G34" s="20" t="str"/>
      <x:c r="H34" s="33" t="str"/>
      <x:c r="I34" s="20" t="str">
        <x:v>行李、车辆、坡度、24小时前台、外卡</x:v>
      </x:c>
      <x:c r="J34" s="20" t="str">
        <x:v>住宿基地区域清单</x:v>
      </x:c>
      <x:c r="K34" s="20" t="str">
        <x:v>https://www.cqyz.gov.cn/bm_229/qwhlyw/zwxx_97154/dt/202606/t20260605_15733979.html</x:v>
      </x:c>
    </x:row>
    <x:row r="35" ht="50" customHeight="1">
      <x:c r="A35" s="21" t="str">
        <x:v>FV030</x:v>
      </x:c>
      <x:c r="B35" s="21" t="str">
        <x:v>全程</x:v>
      </x:c>
      <x:c r="C35" s="21" t="str">
        <x:v>外国游客小样测试</x:v>
      </x:c>
      <x:c r="D35" s="21" t="str">
        <x:v>可用性测试</x:v>
      </x:c>
      <x:c r="E35" s="21" t="str">
        <x:v>最高</x:v>
      </x:c>
      <x:c r="F35" s="21" t="str">
        <x:v>未开始</x:v>
      </x:c>
      <x:c r="G35" s="21" t="str"/>
      <x:c r="H35" s="34" t="str"/>
      <x:c r="I35" s="21" t="str">
        <x:v>迷路、理解、疲劳、支付、内容记忆</x:v>
      </x:c>
      <x:c r="J35" s="21" t="str">
        <x:v>3—5人测试报告</x:v>
      </x:c>
      <x:c r="K35" s="21" t="str">
        <x:v>https://www.reddit.com/r/travelchina/comments/1v4olqp/thoughts_on_my_chongqing_itinerary/</x:v>
      </x:c>
    </x:row>
  </x:sheetData>
  <x:mergeCells>
    <x:mergeCell ref="A1:K1"/>
    <x:mergeCell ref="A2:K2"/>
  </x:mergeCells>
  <x:conditionalFormatting sqref="F6:F35">
    <x:cfRule type="containsText" dxfId="9" priority="1" operator="containsText" text="已完成"/>
    <x:cfRule type="containsText" dxfId="10" priority="2" operator="containsText" text="有风险"/>
  </x:conditionalFormatting>
  <x:dataValidations count="2">
    <x:dataValidation type="list" sqref="E6:E35">
      <x:formula1>"最高,高,中,低"</x:formula1>
    </x:dataValidation>
    <x:dataValidation type="list" sqref="F6:F35">
      <x:formula1>"未开始,进行中,已完成,有风险,不采用"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0710a95c5c4f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4" hidden="0" customWidth="1"/>
    <x:col min="4" max="4" width="11" hidden="0" customWidth="1"/>
    <x:col min="5" max="5" width="12" hidden="0" customWidth="1"/>
    <x:col min="6" max="6" width="44" hidden="0" customWidth="1"/>
    <x:col min="7" max="7" width="28" hidden="0" customWidth="1"/>
    <x:col min="8" max="8" width="42" hidden="0" customWidth="1"/>
    <x:col min="9" max="9" width="24" hidden="0" customWidth="1"/>
  </x:cols>
  <x:sheetData>
    <x:row r="1" ht="32" customHeight="1">
      <x:c r="A1" s="3" t="str">
        <x:v>外国游客问题库｜主城版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这些不是一般FAQ，而是付费路书必须解决的执行问题。出现频率来自定向样本与产品判断，不是统计市场份额。</x:v>
      </x:c>
      <x:c r="B2" s="7"/>
      <x:c r="C2" s="7"/>
      <x:c r="D2" s="7"/>
      <x:c r="E2" s="7"/>
      <x:c r="F2" s="7"/>
      <x:c r="G2" s="7"/>
      <x:c r="H2" s="7"/>
      <x:c r="I2" s="7"/>
    </x:row>
    <x:row r="5" ht="34" customHeight="1">
      <x:c r="A5" s="11" t="str">
        <x:v>问题ID</x:v>
      </x:c>
      <x:c r="B5" s="11" t="str">
        <x:v>旅程阶段</x:v>
      </x:c>
      <x:c r="C5" s="11" t="str">
        <x:v>真实问题</x:v>
      </x:c>
      <x:c r="D5" s="11" t="str">
        <x:v>严重度</x:v>
      </x:c>
      <x:c r="E5" s="11" t="str">
        <x:v>频率</x:v>
      </x:c>
      <x:c r="F5" s="11" t="str">
        <x:v>产品解决方案</x:v>
      </x:c>
      <x:c r="G5" s="11" t="str">
        <x:v>必须收集字段</x:v>
      </x:c>
      <x:c r="H5" s="11" t="str">
        <x:v>来源URL</x:v>
      </x:c>
      <x:c r="I5" s="11" t="str">
        <x:v>下一步</x:v>
      </x:c>
    </x:row>
    <x:row r="6" ht="48" customHeight="1">
      <x:c r="A6" s="19" t="str">
        <x:v>P01</x:v>
      </x:c>
      <x:c r="B6" s="19" t="str">
        <x:v>行前</x:v>
      </x:c>
      <x:c r="C6" s="19" t="str">
        <x:v>Google地图与真实入口/楼层不一致</x:v>
      </x:c>
      <x:c r="D6" s="19" t="str">
        <x:v>高</x:v>
      </x:c>
      <x:c r="E6" s="19" t="str">
        <x:v>高</x:v>
      </x:c>
      <x:c r="F6" s="19" t="str">
        <x:v>中文名＋入口照片＋最近出口＋高差说明</x:v>
      </x:c>
      <x:c r="G6" s="19" t="str">
        <x:v>坐标/中文名/入口/楼层</x:v>
      </x:c>
      <x:c r="H6" s="19" t="str">
        <x:v>https://www.reddit.com/r/travelchina/comments/1t4cdvm/help_planning_chongqing/</x:v>
      </x:c>
      <x:c r="I6" s="19" t="str">
        <x:v>逐点实测</x:v>
      </x:c>
    </x:row>
    <x:row r="7" ht="48" customHeight="1">
      <x:c r="A7" s="20" t="str">
        <x:v>P02</x:v>
      </x:c>
      <x:c r="B7" s="20" t="str">
        <x:v>抵达</x:v>
      </x:c>
      <x:c r="C7" s="20" t="str">
        <x:v>北站、西站、东站、沙坪坝站选错</x:v>
      </x:c>
      <x:c r="D7" s="20" t="str">
        <x:v>高</x:v>
      </x:c>
      <x:c r="E7" s="20" t="str">
        <x:v>中</x:v>
      </x:c>
      <x:c r="F7" s="20" t="str">
        <x:v>按住宿与后续路线给车站建议和安检缓冲</x:v>
      </x:c>
      <x:c r="G7" s="20" t="str">
        <x:v>车站/地铁/行李/时间</x:v>
      </x:c>
      <x:c r="H7" s="20" t="str">
        <x:v>https://www.reddit.com/r/travelchina/comments/1v4olqp/thoughts_on_my_chongqing_itinerary/</x:v>
      </x:c>
      <x:c r="I7" s="20" t="str">
        <x:v>四站门到门</x:v>
      </x:c>
    </x:row>
    <x:row r="8" ht="48" customHeight="1">
      <x:c r="A8" s="20" t="str">
        <x:v>P03</x:v>
      </x:c>
      <x:c r="B8" s="20" t="str">
        <x:v>支付</x:v>
      </x:c>
      <x:c r="C8" s="20" t="str">
        <x:v>外卡绑定成功但小商户仍失败</x:v>
      </x:c>
      <x:c r="D8" s="20" t="str">
        <x:v>高</x:v>
      </x:c>
      <x:c r="E8" s="20" t="str">
        <x:v>中</x:v>
      </x:c>
      <x:c r="F8" s="20" t="str">
        <x:v>首日测试支付＋现金备份＋失败中文卡</x:v>
      </x:c>
      <x:c r="G8" s="20" t="str">
        <x:v>外卡/现金/ATM/限额</x:v>
      </x:c>
      <x:c r="H8" s="20" t="str">
        <x:v>https://www.cqyz.gov.cn/bm_229/qwhlyw/zwxx_97154/dt/202606/t20260605_15733979.html</x:v>
      </x:c>
      <x:c r="I8" s="20" t="str">
        <x:v>真实支付测试</x:v>
      </x:c>
    </x:row>
    <x:row r="9" ht="48" customHeight="1">
      <x:c r="A9" s="20" t="str">
        <x:v>P04</x:v>
      </x:c>
      <x:c r="B9" s="20" t="str">
        <x:v>游览</x:v>
      </x:c>
      <x:c r="C9" s="20" t="str">
        <x:v>一天跨区塞8—12个点</x:v>
      </x:c>
      <x:c r="D9" s="20" t="str">
        <x:v>高</x:v>
      </x:c>
      <x:c r="E9" s="20" t="str">
        <x:v>高</x:v>
      </x:c>
      <x:c r="F9" s="20" t="str">
        <x:v>每天3—5个主节点；用门到门和恢复时间限制</x:v>
      </x:c>
      <x:c r="G9" s="20" t="str">
        <x:v>转场/坡度/排队/休息</x:v>
      </x:c>
      <x:c r="H9" s="20" t="str">
        <x:v>https://www.reddit.com/r/travelchina/comments/1v4olqp/thoughts_on_my_chongqing_itinerary/</x:v>
      </x:c>
      <x:c r="I9" s="20" t="str">
        <x:v>全日实走</x:v>
      </x:c>
    </x:row>
    <x:row r="10" ht="48" customHeight="1">
      <x:c r="A10" s="20" t="str">
        <x:v>P05</x:v>
      </x:c>
      <x:c r="B10" s="20" t="str">
        <x:v>体力</x:v>
      </x:c>
      <x:c r="C10" s="20" t="str">
        <x:v>网页写“步行”但不写连续坡度和台阶</x:v>
      </x:c>
      <x:c r="D10" s="20" t="str">
        <x:v>高</x:v>
      </x:c>
      <x:c r="E10" s="20" t="str">
        <x:v>高</x:v>
      </x:c>
      <x:c r="F10" s="20" t="str">
        <x:v>体力等级＋步数＋坡度＋退出点＋低体力版本</x:v>
      </x:c>
      <x:c r="G10" s="20" t="str">
        <x:v>步数/坡度/电梯/座椅</x:v>
      </x:c>
      <x:c r="H10" s="20" t="str">
        <x:v>https://www.shplanning.com.cn/archive/download/id/487.html</x:v>
      </x:c>
      <x:c r="I10" s="20" t="str">
        <x:v>高低体力双测</x:v>
      </x:c>
    </x:row>
    <x:row r="11" ht="48" customHeight="1">
      <x:c r="A11" s="20" t="str">
        <x:v>P06</x:v>
      </x:c>
      <x:c r="B11" s="20" t="str">
        <x:v>夜景</x:v>
      </x:c>
      <x:c r="C11" s="20" t="str">
        <x:v>在洪崖洞内部消耗大量时间</x:v>
      </x:c>
      <x:c r="D11" s="20" t="str">
        <x:v>中</x:v>
      </x:c>
      <x:c r="E11" s="20" t="str">
        <x:v>高</x:v>
      </x:c>
      <x:c r="F11" s="20" t="str">
        <x:v>外观核心、内部限时45分钟、隔江视角</x:v>
      </x:c>
      <x:c r="G11" s="20" t="str">
        <x:v>亮灯/出口/人流/视角</x:v>
      </x:c>
      <x:c r="H11" s="20" t="str">
        <x:v>https://eprints.whiterose.ac.uk/id/eprint/185301/</x:v>
      </x:c>
      <x:c r="I11" s="20" t="str">
        <x:v>夜间实测</x:v>
      </x:c>
    </x:row>
    <x:row r="12" ht="48" customHeight="1">
      <x:c r="A12" s="20" t="str">
        <x:v>P07</x:v>
      </x:c>
      <x:c r="B12" s="20" t="str">
        <x:v>交通</x:v>
      </x:c>
      <x:c r="C12" s="20" t="str">
        <x:v>只去李子坝拍照，没乘坐2号线</x:v>
      </x:c>
      <x:c r="D12" s="20" t="str">
        <x:v>中</x:v>
      </x:c>
      <x:c r="E12" s="20" t="str">
        <x:v>高</x:v>
      </x:c>
      <x:c r="F12" s="20" t="str">
        <x:v>先乘车后短停观景台；施工期动态提示</x:v>
      </x:c>
      <x:c r="G12" s="20" t="str">
        <x:v>方向/车厢/施工/人流</x:v>
      </x:c>
      <x:c r="H12" s="20" t="str">
        <x:v>https://www.cq.gov.cn/ywdt/jrcq/202606/t20260613_15751500.html</x:v>
      </x:c>
      <x:c r="I12" s="20" t="str">
        <x:v>实测方向</x:v>
      </x:c>
    </x:row>
    <x:row r="13" ht="48" customHeight="1">
      <x:c r="A13" s="20" t="str">
        <x:v>P08</x:v>
      </x:c>
      <x:c r="B13" s="20" t="str">
        <x:v>预约</x:v>
      </x:c>
      <x:c r="C13" s="20" t="str">
        <x:v>小程序对护照/海外手机号不友好</x:v>
      </x:c>
      <x:c r="D13" s="20" t="str">
        <x:v>高</x:v>
      </x:c>
      <x:c r="E13" s="20" t="str">
        <x:v>中</x:v>
      </x:c>
      <x:c r="F13" s="20" t="str">
        <x:v>逐点记录护照、手机号、现场窗口和失败路径</x:v>
      </x:c>
      <x:c r="G13" s="20" t="str">
        <x:v>证件/手机号/支付/窗口</x:v>
      </x:c>
      <x:c r="H13" s="20" t="str">
        <x:v>https://www.cqyz.gov.cn/bm_229/qwhlyw/zwxx_97154/dt/202606/t20260605_15733979.html</x:v>
      </x:c>
      <x:c r="I13" s="20" t="str">
        <x:v>护照测试</x:v>
      </x:c>
    </x:row>
    <x:row r="14" ht="48" customHeight="1">
      <x:c r="A14" s="20" t="str">
        <x:v>P09</x:v>
      </x:c>
      <x:c r="B14" s="20" t="str">
        <x:v>语言</x:v>
      </x:c>
      <x:c r="C14" s="20" t="str">
        <x:v>博物馆有英文名但核心展签未必有英文</x:v>
      </x:c>
      <x:c r="D14" s="20" t="str">
        <x:v>中</x:v>
      </x:c>
      <x:c r="E14" s="20" t="str">
        <x:v>高</x:v>
      </x:c>
      <x:c r="F14" s="20" t="str">
        <x:v>记录英文覆盖比例；补充英文讲解卡</x:v>
      </x:c>
      <x:c r="G14" s="20" t="str">
        <x:v>展签/语音/人工讲解</x:v>
      </x:c>
      <x:c r="H14" s="20" t="str">
        <x:v>https://whlyw.cq.gov.cn/hdjl_221/xzzq/202601/t20260115_15320860.html</x:v>
      </x:c>
      <x:c r="I14" s="20" t="str">
        <x:v>逐馆抽样</x:v>
      </x:c>
    </x:row>
    <x:row r="15" ht="48" customHeight="1">
      <x:c r="A15" s="20" t="str">
        <x:v>P10</x:v>
      </x:c>
      <x:c r="B15" s="20" t="str">
        <x:v>餐饮</x:v>
      </x:c>
      <x:c r="C15" s="20" t="str">
        <x:v>不会控制辣度、内脏、过敏和份量</x:v>
      </x:c>
      <x:c r="D15" s="20" t="str">
        <x:v>高</x:v>
      </x:c>
      <x:c r="E15" s="20" t="str">
        <x:v>高</x:v>
      </x:c>
      <x:c r="F15" s="20" t="str">
        <x:v>双语点菜卡＋过敏确认＋非辣/素食替代</x:v>
      </x:c>
      <x:c r="G15" s="20" t="str">
        <x:v>辣度/过敏/素食/卫生</x:v>
      </x:c>
      <x:c r="H15" s="20" t="str">
        <x:v>https://whlyw.cq.gov.cn/zjwl/szq/zqms/202411/t20241111_13787035.html</x:v>
      </x:c>
      <x:c r="I15" s="20" t="str">
        <x:v>试吃与访谈</x:v>
      </x:c>
    </x:row>
    <x:row r="16" ht="48" customHeight="1">
      <x:c r="A16" s="20" t="str">
        <x:v>P11</x:v>
      </x:c>
      <x:c r="B16" s="20" t="str">
        <x:v>社区</x:v>
      </x:c>
      <x:c r="C16" s="20" t="str">
        <x:v>把居民空间当免费摄影棚</x:v>
      </x:c>
      <x:c r="D16" s="20" t="str">
        <x:v>高</x:v>
      </x:c>
      <x:c r="E16" s="20" t="str">
        <x:v>中</x:v>
      </x:c>
      <x:c r="F16" s="20" t="str">
        <x:v>公共边界、同意规则、团队人数和禁拍点</x:v>
      </x:c>
      <x:c r="G16" s="20" t="str">
        <x:v>公共/私人/消防/影像权</x:v>
      </x:c>
      <x:c r="H16" s="20" t="str">
        <x:v>https://eprints.whiterose.ac.uk/id/eprint/185301/</x:v>
      </x:c>
      <x:c r="I16" s="20" t="str">
        <x:v>本地判断</x:v>
      </x:c>
    </x:row>
    <x:row r="17" ht="48" customHeight="1">
      <x:c r="A17" s="20" t="str">
        <x:v>P12</x:v>
      </x:c>
      <x:c r="B17" s="20" t="str">
        <x:v>天气</x:v>
      </x:c>
      <x:c r="C17" s="20" t="str">
        <x:v>夏季高温与阵雨破坏固定路线</x:v>
      </x:c>
      <x:c r="D17" s="20" t="str">
        <x:v>高</x:v>
      </x:c>
      <x:c r="E17" s="20" t="str">
        <x:v>季节性高</x:v>
      </x:c>
      <x:c r="F17" s="20" t="str">
        <x:v>早晚双峰＋中午室内＋暴雨删除规则</x:v>
      </x:c>
      <x:c r="G17" s="20" t="str">
        <x:v>温度/暴晒/雨量/室内</x:v>
      </x:c>
      <x:c r="H17" s="20" t="str">
        <x:v>https://www.shplanning.com.cn/archive/download/id/487.html</x:v>
      </x:c>
      <x:c r="I17" s="20" t="str">
        <x:v>夏季实走</x:v>
      </x:c>
    </x:row>
    <x:row r="18" ht="48" customHeight="1">
      <x:c r="A18" s="20" t="str">
        <x:v>P13</x:v>
      </x:c>
      <x:c r="B18" s="20" t="str">
        <x:v>节假日</x:v>
      </x:c>
      <x:c r="C18" s="20" t="str">
        <x:v>封路、限流、排队和末班车变化</x:v>
      </x:c>
      <x:c r="D18" s="20" t="str">
        <x:v>高</x:v>
      </x:c>
      <x:c r="E18" s="20" t="str">
        <x:v>季节性高</x:v>
      </x:c>
      <x:c r="F18" s="20" t="str">
        <x:v>节假日禁售/替换规则＋官方公告入口</x:v>
      </x:c>
      <x:c r="G18" s="20" t="str">
        <x:v>节假日/限流/交通</x:v>
      </x:c>
      <x:c r="H18" s="20" t="str">
        <x:v>https://www.cq.gov.cn/ywdt/jrcq/202605/t20260531_15716501_app.html</x:v>
      </x:c>
      <x:c r="I18" s="20" t="str">
        <x:v>建立日历</x:v>
      </x:c>
    </x:row>
    <x:row r="19" ht="48" customHeight="1">
      <x:c r="A19" s="20" t="str">
        <x:v>P14</x:v>
      </x:c>
      <x:c r="B19" s="20" t="str">
        <x:v>施工</x:v>
      </x:c>
      <x:c r="C19" s="20" t="str">
        <x:v>李子坝2026年分区改造改变动线</x:v>
      </x:c>
      <x:c r="D19" s="20" t="str">
        <x:v>高</x:v>
      </x:c>
      <x:c r="E19" s="20" t="str">
        <x:v>高</x:v>
      </x:c>
      <x:c r="F19" s="20" t="str">
        <x:v>每月复核；观景台可跳过，2号线乘车保留</x:v>
      </x:c>
      <x:c r="G19" s="20" t="str">
        <x:v>封闭区/出入口/扶梯</x:v>
      </x:c>
      <x:c r="H19" s="20" t="str">
        <x:v>https://www.cq.gov.cn/ywdt/jrcq/202606/t20260613_15751500.html</x:v>
      </x:c>
      <x:c r="I19" s="20" t="str">
        <x:v>月度检查</x:v>
      </x:c>
    </x:row>
    <x:row r="20" ht="48" customHeight="1">
      <x:c r="A20" s="20" t="str">
        <x:v>P15</x:v>
      </x:c>
      <x:c r="B20" s="20" t="str">
        <x:v>重内容</x:v>
      </x:c>
      <x:c r="C20" s="20" t="str">
        <x:v>大轰炸与战争场馆缺少内容预警</x:v>
      </x:c>
      <x:c r="D20" s="20" t="str">
        <x:v>中</x:v>
      </x:c>
      <x:c r="E20" s="20" t="str">
        <x:v>中</x:v>
      </x:c>
      <x:c r="F20" s="20" t="str">
        <x:v>年龄与情绪提示；重内容后安排恢复</x:v>
      </x:c>
      <x:c r="G20" s="20" t="str">
        <x:v>适龄/情绪/停留/出口</x:v>
      </x:c>
      <x:c r="H20" s="20" t="str">
        <x:v>https://whlyw.cq.gov.cn/zwxx_221/bmdt/tzgg/202601/t20260115_15320690.html</x:v>
      </x:c>
      <x:c r="I20" s="20" t="str">
        <x:v>现场测试</x:v>
      </x:c>
    </x:row>
    <x:row r="21" ht="48" customHeight="1">
      <x:c r="A21" s="20" t="str">
        <x:v>P16</x:v>
      </x:c>
      <x:c r="B21" s="20" t="str">
        <x:v>夜间</x:v>
      </x:c>
      <x:c r="C21" s="20" t="str">
        <x:v>无人机秀按月变动并受天气影响</x:v>
      </x:c>
      <x:c r="D21" s="20" t="str">
        <x:v>中</x:v>
      </x:c>
      <x:c r="E21" s="20" t="str">
        <x:v>中</x:v>
      </x:c>
      <x:c r="F21" s="20" t="str">
        <x:v>只写官方当月安排；取消即回普通夜景</x:v>
      </x:c>
      <x:c r="G21" s="20" t="str">
        <x:v>排期/气象/封控/疏散</x:v>
      </x:c>
      <x:c r="H21" s="20" t="str">
        <x:v>https://www.cq.gov.cn/ywdt/jrcq/202605/t20260531_15716501_app.html</x:v>
      </x:c>
      <x:c r="I21" s="20" t="str">
        <x:v>月度复核</x:v>
      </x:c>
    </x:row>
    <x:row r="22" ht="48" customHeight="1">
      <x:c r="A22" s="20" t="str">
        <x:v>P17</x:v>
      </x:c>
      <x:c r="B22" s="20" t="str">
        <x:v>演出</x:v>
      </x:c>
      <x:c r="C22" s="20" t="str">
        <x:v>只有变脸拼盘，没有理解与互动</x:v>
      </x:c>
      <x:c r="D22" s="20" t="str">
        <x:v>中</x:v>
      </x:c>
      <x:c r="E22" s="20" t="str">
        <x:v>中</x:v>
      </x:c>
      <x:c r="F22" s="20" t="str">
        <x:v>必须有演前导读/演后交流才进深度产品</x:v>
      </x:c>
      <x:c r="G22" s="20" t="str">
        <x:v>时长/内容/英语/互动</x:v>
      </x:c>
      <x:c r="H22" s="20" t="str">
        <x:v>https://whlyw.cq.gov.cn/zwgk_221/zfgkzcwj/qtwj/202607/t20260709_15810099.html</x:v>
      </x:c>
      <x:c r="I22" s="20" t="str">
        <x:v>机构访谈</x:v>
      </x:c>
    </x:row>
    <x:row r="23" ht="48" customHeight="1">
      <x:c r="A23" s="21" t="str">
        <x:v>P18</x:v>
      </x:c>
      <x:c r="B23" s="21" t="str">
        <x:v>住宿</x:v>
      </x:c>
      <x:c r="C23" s="21" t="str">
        <x:v>平台距离不等于落客和搬运行李难度</x:v>
      </x:c>
      <x:c r="D23" s="21" t="str">
        <x:v>高</x:v>
      </x:c>
      <x:c r="E23" s="21" t="str">
        <x:v>中</x:v>
      </x:c>
      <x:c r="F23" s="21" t="str">
        <x:v>记录落客点、电梯、台阶、行李服务</x:v>
      </x:c>
      <x:c r="G23" s="21" t="str">
        <x:v>落客/电梯/台阶/前台</x:v>
      </x:c>
      <x:c r="H23" s="21" t="str">
        <x:v>https://www.reddit.com/r/travelchina/comments/1t4cdvm/help_planning_chongqing/</x:v>
      </x:c>
      <x:c r="I23" s="21" t="str">
        <x:v>酒店实测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7a2d719931848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42" hidden="0" customWidth="1"/>
    <x:col min="5" max="5" width="12" hidden="0" customWidth="1"/>
    <x:col min="6" max="6" width="22" hidden="0" customWidth="1"/>
    <x:col min="7" max="7" width="14" hidden="0" customWidth="1"/>
    <x:col min="8" max="8" width="20" hidden="0" customWidth="1"/>
    <x:col min="9" max="9" width="22" hidden="0" customWidth="1"/>
  </x:cols>
  <x:sheetData>
    <x:row r="1" ht="32" customHeight="1">
      <x:c r="A1" s="3" t="str">
        <x:v>产品决策记录｜主城版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你的判断会覆盖我的建议，但保留版本、理由和影响范围。已确定项来自本轮对话。</x:v>
      </x:c>
      <x:c r="B2" s="7"/>
      <x:c r="C2" s="7"/>
      <x:c r="D2" s="7"/>
      <x:c r="E2" s="7"/>
      <x:c r="F2" s="7"/>
      <x:c r="G2" s="7"/>
      <x:c r="H2" s="7"/>
      <x:c r="I2" s="7"/>
    </x:row>
    <x:row r="5" ht="34" customHeight="1">
      <x:c r="A5" s="11" t="str">
        <x:v>决策ID</x:v>
      </x:c>
      <x:c r="B5" s="11" t="str">
        <x:v>问题</x:v>
      </x:c>
      <x:c r="C5" s="11" t="str">
        <x:v>建议</x:v>
      </x:c>
      <x:c r="D5" s="11" t="str">
        <x:v>理由</x:v>
      </x:c>
      <x:c r="E5" s="11" t="str">
        <x:v>状态</x:v>
      </x:c>
      <x:c r="F5" s="11" t="str">
        <x:v>你的决定</x:v>
      </x:c>
      <x:c r="G5" s="11" t="str">
        <x:v>决定日期</x:v>
      </x:c>
      <x:c r="H5" s="11" t="str">
        <x:v>影响范围</x:v>
      </x:c>
      <x:c r="I5" s="11" t="str">
        <x:v>复盘节点</x:v>
      </x:c>
    </x:row>
    <x:row r="6" ht="50" customHeight="1">
      <x:c r="A6" s="19" t="str">
        <x:v>D001</x:v>
      </x:c>
      <x:c r="B6" s="19" t="str">
        <x:v>首发范围</x:v>
      </x:c>
      <x:c r="C6" s="19" t="str">
        <x:v>只做重庆主城，不把武隆/大足塞进本工作簿</x:v>
      </x:c>
      <x:c r="D6" s="19" t="str">
        <x:v>主城客流与停留需求明显更强；先做深再扩展</x:v>
      </x:c>
      <x:c r="E6" s="19" t="str">
        <x:v>已确定</x:v>
      </x:c>
      <x:c r="F6" s="19" t="str">
        <x:v>用户决定</x:v>
      </x:c>
      <x:c r="G6" s="32" t="str">
        <x:v>2026-07-28</x:v>
      </x:c>
      <x:c r="H6" s="19" t="str">
        <x:v>全工作簿</x:v>
      </x:c>
      <x:c r="I6" s="19" t="str">
        <x:v>主城完成后</x:v>
      </x:c>
    </x:row>
    <x:row r="7" ht="50" customHeight="1">
      <x:c r="A7" s="20" t="str">
        <x:v>D002</x:v>
      </x:c>
      <x:c r="B7" s="20" t="str">
        <x:v>产品结构</x:v>
      </x:c>
      <x:c r="C7" s="20" t="str">
        <x:v>3天固定核心＋第4天二选一</x:v>
      </x:c>
      <x:c r="D7" s="20" t="str">
        <x:v>兼顾首次游客必需内容和兴趣分流</x:v>
      </x:c>
      <x:c r="E7" s="20" t="str">
        <x:v>已确定</x:v>
      </x:c>
      <x:c r="F7" s="20" t="str">
        <x:v>本轮方案</x:v>
      </x:c>
      <x:c r="G7" s="33" t="str">
        <x:v>2026-07-28</x:v>
      </x:c>
      <x:c r="H7" s="20" t="str">
        <x:v>路线/营销</x:v>
      </x:c>
      <x:c r="I7" s="20" t="str">
        <x:v>实走后</x:v>
      </x:c>
    </x:row>
    <x:row r="8" ht="50" customHeight="1">
      <x:c r="A8" s="20" t="str">
        <x:v>D003</x:v>
      </x:c>
      <x:c r="B8" s="20" t="str">
        <x:v>D4默认版本</x:v>
      </x:c>
      <x:c r="C8" s="20" t="str">
        <x:v>优先D4A开埠＋南岸山路；D4B为艺术工业版</x:v>
      </x:c>
      <x:c r="D8" s="20" t="str">
        <x:v>D4A更能连接重庆国际史、地形和街区</x:v>
      </x:c>
      <x:c r="E8" s="20" t="str">
        <x:v>待你判断</x:v>
      </x:c>
      <x:c r="F8" s="20" t="str"/>
      <x:c r="G8" s="33" t="str"/>
      <x:c r="H8" s="20" t="str">
        <x:v>路线/目标客群</x:v>
      </x:c>
      <x:c r="I8" s="20" t="str">
        <x:v>D4双线实走后</x:v>
      </x:c>
    </x:row>
    <x:row r="9" ht="50" customHeight="1">
      <x:c r="A9" s="20" t="str">
        <x:v>D004</x:v>
      </x:c>
      <x:c r="B9" s="20" t="str">
        <x:v>住宿基地</x:v>
      </x:c>
      <x:c r="C9" s="20" t="str">
        <x:v>首次来渝优先解放碑/小什字；不直接推荐山城巷民宿</x:v>
      </x:c>
      <x:c r="D9" s="20" t="str">
        <x:v>主城前三天步行与轨道最方便，行李风险较低</x:v>
      </x:c>
      <x:c r="E9" s="20" t="str">
        <x:v>待你判断</x:v>
      </x:c>
      <x:c r="F9" s="20" t="str"/>
      <x:c r="G9" s="33" t="str"/>
      <x:c r="H9" s="20" t="str">
        <x:v>住宿/承接</x:v>
      </x:c>
      <x:c r="I9" s="20" t="str">
        <x:v>酒店核验后</x:v>
      </x:c>
    </x:row>
    <x:row r="10" ht="50" customHeight="1">
      <x:c r="A10" s="20" t="str">
        <x:v>D005</x:v>
      </x:c>
      <x:c r="B10" s="20" t="str">
        <x:v>洪崖洞定位</x:v>
      </x:c>
      <x:c r="C10" s="20" t="str">
        <x:v>外观必去，内部限时45分钟</x:v>
      </x:c>
      <x:c r="D10" s="20" t="str">
        <x:v>保留海外流量钩子，同时控制商业噪音</x:v>
      </x:c>
      <x:c r="E10" s="20" t="str">
        <x:v>建议通过</x:v>
      </x:c>
      <x:c r="F10" s="20" t="str"/>
      <x:c r="G10" s="33" t="str"/>
      <x:c r="H10" s="20" t="str">
        <x:v>D1/营销</x:v>
      </x:c>
      <x:c r="I10" s="20" t="str">
        <x:v>夜间实走后</x:v>
      </x:c>
    </x:row>
    <x:row r="11" ht="50" customHeight="1">
      <x:c r="A11" s="20" t="str">
        <x:v>D006</x:v>
      </x:c>
      <x:c r="B11" s="20" t="str">
        <x:v>山城步道定位</x:v>
      </x:c>
      <x:c r="C11" s="20" t="str">
        <x:v>D2核心，必须自上而下提供低体力替代</x:v>
      </x:c>
      <x:c r="D11" s="20" t="str">
        <x:v>这是最能把地形、历史和生活连起来的内容</x:v>
      </x:c>
      <x:c r="E11" s="20" t="str">
        <x:v>建议通过</x:v>
      </x:c>
      <x:c r="F11" s="20" t="str"/>
      <x:c r="G11" s="33" t="str"/>
      <x:c r="H11" s="20" t="str">
        <x:v>D2/安全</x:v>
      </x:c>
      <x:c r="I11" s="20" t="str">
        <x:v>完整实走后</x:v>
      </x:c>
    </x:row>
    <x:row r="12" ht="50" customHeight="1">
      <x:c r="A12" s="20" t="str">
        <x:v>D007</x:v>
      </x:c>
      <x:c r="B12" s="20" t="str">
        <x:v>战争历史比重</x:v>
      </x:c>
      <x:c r="C12" s="20" t="str">
        <x:v>D3保留三峡博物馆＋中山四路＋史迪威</x:v>
      </x:c>
      <x:c r="D12" s="20" t="str">
        <x:v>形成国内史、城市史、国际史三层结构</x:v>
      </x:c>
      <x:c r="E12" s="20" t="str">
        <x:v>待你判断</x:v>
      </x:c>
      <x:c r="F12" s="20" t="str"/>
      <x:c r="G12" s="33" t="str"/>
      <x:c r="H12" s="20" t="str">
        <x:v>D3/英文内容</x:v>
      </x:c>
      <x:c r="I12" s="20" t="str">
        <x:v>专家审阅后</x:v>
      </x:c>
    </x:row>
    <x:row r="13" ht="50" customHeight="1">
      <x:c r="A13" s="20" t="str">
        <x:v>D008</x:v>
      </x:c>
      <x:c r="B13" s="20" t="str">
        <x:v>李子坝定位</x:v>
      </x:c>
      <x:c r="C13" s="20" t="str">
        <x:v>2号线乘车核心；观景台施工期条件推荐</x:v>
      </x:c>
      <x:c r="D13" s="20" t="str">
        <x:v>交通系统比打卡照片更有内容，且2026动线不稳定</x:v>
      </x:c>
      <x:c r="E13" s="20" t="str">
        <x:v>建议通过</x:v>
      </x:c>
      <x:c r="F13" s="20" t="str"/>
      <x:c r="G13" s="33" t="str"/>
      <x:c r="H13" s="20" t="str">
        <x:v>D3/动态更新</x:v>
      </x:c>
      <x:c r="I13" s="20" t="str">
        <x:v>2026-12-30后</x:v>
      </x:c>
    </x:row>
    <x:row r="14" ht="50" customHeight="1">
      <x:c r="A14" s="20" t="str">
        <x:v>D009</x:v>
      </x:c>
      <x:c r="B14" s="20" t="str">
        <x:v>交通茶馆定位</x:v>
      </x:c>
      <x:c r="C14" s="20" t="str">
        <x:v>仅D4B条件推荐，不进默认4天</x:v>
      </x:c>
      <x:c r="D14" s="20" t="str">
        <x:v>真实但旅游化与拍摄冲突高，必须有商户规则</x:v>
      </x:c>
      <x:c r="E14" s="20" t="str">
        <x:v>待你判断</x:v>
      </x:c>
      <x:c r="F14" s="20" t="str"/>
      <x:c r="G14" s="33" t="str"/>
      <x:c r="H14" s="20" t="str">
        <x:v>D4B/供应商</x:v>
      </x:c>
      <x:c r="I14" s="20" t="str">
        <x:v>访谈后</x:v>
      </x:c>
    </x:row>
    <x:row r="15" ht="50" customHeight="1">
      <x:c r="A15" s="20" t="str">
        <x:v>D010</x:v>
      </x:c>
      <x:c r="B15" s="20" t="str">
        <x:v>十八梯定位</x:v>
      </x:c>
      <x:c r="C15" s="20" t="str">
        <x:v>只作通行和更新比较，不占完整时段</x:v>
      </x:c>
      <x:c r="D15" s="20" t="str">
        <x:v>与龙门浩/下浩里内容重复且商业化更强</x:v>
      </x:c>
      <x:c r="E15" s="20" t="str">
        <x:v>建议通过</x:v>
      </x:c>
      <x:c r="F15" s="20" t="str"/>
      <x:c r="G15" s="33" t="str"/>
      <x:c r="H15" s="20" t="str">
        <x:v>D2</x:v>
      </x:c>
      <x:c r="I15" s="20" t="str">
        <x:v>实走后</x:v>
      </x:c>
    </x:row>
    <x:row r="16" ht="50" customHeight="1">
      <x:c r="A16" s="20" t="str">
        <x:v>D011</x:v>
      </x:c>
      <x:c r="B16" s="20" t="str">
        <x:v>火锅定位</x:v>
      </x:c>
      <x:c r="C16" s="20" t="str">
        <x:v>升级为可预约双语体验</x:v>
      </x:c>
      <x:c r="D16" s="20" t="str">
        <x:v>重庆最强社交内容，也是外国人摩擦最高环节</x:v>
      </x:c>
      <x:c r="E16" s="20" t="str">
        <x:v>待你判断</x:v>
      </x:c>
      <x:c r="F16" s="20" t="str"/>
      <x:c r="G16" s="33" t="str"/>
      <x:c r="H16" s="20" t="str">
        <x:v>餐饮/高客单</x:v>
      </x:c>
      <x:c r="I16" s="20" t="str">
        <x:v>3家试吃后</x:v>
      </x:c>
    </x:row>
    <x:row r="17" ht="50" customHeight="1">
      <x:c r="A17" s="21" t="str">
        <x:v>D012</x:v>
      </x:c>
      <x:c r="B17" s="21" t="str">
        <x:v>低台阶版本</x:v>
      </x:c>
      <x:c r="C17" s="21" t="str">
        <x:v>第二轮单独做，不在主线中堆括号</x:v>
      </x:c>
      <x:c r="D17" s="21" t="str">
        <x:v>需要不同入口、交通和停留逻辑</x:v>
      </x:c>
      <x:c r="E17" s="21" t="str">
        <x:v>待你判断</x:v>
      </x:c>
      <x:c r="F17" s="21" t="str"/>
      <x:c r="G17" s="34" t="str"/>
      <x:c r="H17" s="21" t="str">
        <x:v>产品版本</x:v>
      </x:c>
      <x:c r="I17" s="21" t="str">
        <x:v>主线完成后</x:v>
      </x:c>
    </x:row>
  </x:sheetData>
  <x:mergeCells>
    <x:mergeCell ref="A1:I1"/>
    <x:mergeCell ref="A2:I2"/>
  </x:mergeCells>
  <x:conditionalFormatting sqref="E6:E17">
    <x:cfRule type="containsText" dxfId="11" priority="1" operator="containsText" text="已确定"/>
    <x:cfRule type="containsText" dxfId="12" priority="2" operator="containsText" text="待你判断"/>
  </x:conditionalFormatting>
  <x:dataValidations count="1">
    <x:dataValidation type="list" sqref="E6:E17">
      <x:formula1>"已确定,建议通过,待你判断,已否决"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e6eddbb5334e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26" hidden="0" customWidth="1"/>
    <x:col min="4" max="4" width="10" hidden="0" customWidth="1"/>
    <x:col min="5" max="5" width="26" hidden="0" customWidth="1"/>
    <x:col min="6" max="6" width="16" hidden="0" customWidth="1"/>
    <x:col min="7" max="7" width="44" hidden="0" customWidth="1"/>
    <x:col min="8" max="8" width="48" hidden="0" customWidth="1"/>
    <x:col min="9" max="9" width="12" hidden="0" customWidth="1"/>
  </x:cols>
  <x:sheetData>
    <x:row r="1" ht="32" customHeight="1">
      <x:c r="A1" s="3" t="str">
        <x:v>来源台账｜每条来源只证明它能证明的内容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运营信息以官方持续更新页为准；海外讨论只用于识别需求、摩擦和取舍，不确认开放时间或票务。</x:v>
      </x:c>
      <x:c r="B2" s="7"/>
      <x:c r="C2" s="7"/>
      <x:c r="D2" s="7"/>
      <x:c r="E2" s="7"/>
      <x:c r="F2" s="7"/>
      <x:c r="G2" s="7"/>
      <x:c r="H2" s="7"/>
      <x:c r="I2" s="7"/>
    </x:row>
    <x:row r="5" ht="34" customHeight="1">
      <x:c r="A5" s="11" t="str">
        <x:v>来源ID</x:v>
      </x:c>
      <x:c r="B5" s="11" t="str">
        <x:v>来源名称</x:v>
      </x:c>
      <x:c r="C5" s="11" t="str">
        <x:v>来源/机构</x:v>
      </x:c>
      <x:c r="D5" s="11" t="str">
        <x:v>层级</x:v>
      </x:c>
      <x:c r="E5" s="11" t="str">
        <x:v>主要用途</x:v>
      </x:c>
      <x:c r="F5" s="11" t="str">
        <x:v>发布日期/状态</x:v>
      </x:c>
      <x:c r="G5" s="11" t="str">
        <x:v>核心信息</x:v>
      </x:c>
      <x:c r="H5" s="11" t="str">
        <x:v>URL</x:v>
      </x:c>
      <x:c r="I5" s="11" t="str">
        <x:v>广告风险</x:v>
      </x:c>
    </x:row>
    <x:row r="6" ht="48" customHeight="1">
      <x:c r="A6" s="19" t="str">
        <x:v>SRC001</x:v>
      </x:c>
      <x:c r="B6" s="19" t="str">
        <x:v>2025巴蜀文化旅游走廊精品线路</x:v>
      </x:c>
      <x:c r="C6" s="19" t="str">
        <x:v>重庆市政府/市文旅委</x:v>
      </x:c>
      <x:c r="D6" s="19" t="str">
        <x:v>S1</x:v>
      </x:c>
      <x:c r="E6" s="19" t="str">
        <x:v>官方主城线路骨架</x:v>
      </x:c>
      <x:c r="F6" s="19" t="str">
        <x:v>2025-11</x:v>
      </x:c>
      <x:c r="G6" s="19" t="str">
        <x:v>母城记忆、两江四岸、黄葛古道等官方线路节点</x:v>
      </x:c>
      <x:c r="H6" s="19" t="str">
        <x:v>https://www.cq.gov.cn/zwgk/zfxxgkml/zdlyxxgk/ggwh/ly/zxdt/202511/t20251107_15146900.html</x:v>
      </x:c>
      <x:c r="I6" s="19" t="str">
        <x:v>低</x:v>
      </x:c>
    </x:row>
    <x:row r="7" ht="48" customHeight="1">
      <x:c r="A7" s="20" t="str">
        <x:v>SRC002</x:v>
      </x:c>
      <x:c r="B7" s="20" t="str">
        <x:v>2025年度重庆市博物馆名录</x:v>
      </x:c>
      <x:c r="C7" s="20" t="str">
        <x:v>重庆市文物局</x:v>
      </x:c>
      <x:c r="D7" s="20" t="str">
        <x:v>S1</x:v>
      </x:c>
      <x:c r="E7" s="20" t="str">
        <x:v>开放、地址、电话、交通</x:v>
      </x:c>
      <x:c r="F7" s="20" t="str">
        <x:v>2026-01</x:v>
      </x:c>
      <x:c r="G7" s="20" t="str">
        <x:v>152家备案博物馆；主城场馆开放信息</x:v>
      </x:c>
      <x:c r="H7" s="20" t="str">
        <x:v>https://whlyw.cq.gov.cn/hdjl_221/xzzq/202601/t20260115_15320860.html</x:v>
      </x:c>
      <x:c r="I7" s="20" t="str">
        <x:v>低</x:v>
      </x:c>
    </x:row>
    <x:row r="8" ht="48" customHeight="1">
      <x:c r="A8" s="20" t="str">
        <x:v>SRC003</x:v>
      </x:c>
      <x:c r="B8" s="20" t="str">
        <x:v>湖广会馆</x:v>
      </x:c>
      <x:c r="C8" s="20" t="str">
        <x:v>重庆市文化旅游委</x:v>
      </x:c>
      <x:c r="D8" s="20" t="str">
        <x:v>S1</x:v>
      </x:c>
      <x:c r="E8" s="20" t="str">
        <x:v>建筑与移民史</x:v>
      </x:c>
      <x:c r="F8" s="20" t="str">
        <x:v>2024-05</x:v>
      </x:c>
      <x:c r="G8" s="20" t="str">
        <x:v>现存规模最大的古会馆建筑群之一；移民博物馆</x:v>
      </x:c>
      <x:c r="H8" s="20" t="str">
        <x:v>https://whlyw.cq.gov.cn/zjwl/yzq/cqwlzy/zqwwzy/202405/t20240507_13182428.html</x:v>
      </x:c>
      <x:c r="I8" s="20" t="str">
        <x:v>低</x:v>
      </x:c>
    </x:row>
    <x:row r="9" ht="48" customHeight="1">
      <x:c r="A9" s="20" t="str">
        <x:v>SRC004</x:v>
      </x:c>
      <x:c r="B9" s="20" t="str">
        <x:v>重庆古城墙</x:v>
      </x:c>
      <x:c r="C9" s="20" t="str">
        <x:v>重庆市文化旅游委</x:v>
      </x:c>
      <x:c r="D9" s="20" t="str">
        <x:v>S1</x:v>
      </x:c>
      <x:c r="E9" s="20" t="str">
        <x:v>通远门、东水门事实</x:v>
      </x:c>
      <x:c r="F9" s="20" t="str">
        <x:v>2024-05</x:v>
      </x:c>
      <x:c r="G9" s="20" t="str">
        <x:v>现存通远门段与东水门段的形制和保护价值</x:v>
      </x:c>
      <x:c r="H9" s="20" t="str">
        <x:v>https://whlyw.cq.gov.cn/zjwl/yzq/cqwlzy/zqwwzy/202405/t20240507_13182468.html</x:v>
      </x:c>
      <x:c r="I9" s="20" t="str">
        <x:v>低</x:v>
      </x:c>
    </x:row>
    <x:row r="10" ht="48" customHeight="1">
      <x:c r="A10" s="20" t="str">
        <x:v>SRC005</x:v>
      </x:c>
      <x:c r="B10" s="20" t="str">
        <x:v>通远门古城墙步道</x:v>
      </x:c>
      <x:c r="C10" s="20" t="str">
        <x:v>渝中区政府</x:v>
      </x:c>
      <x:c r="D10" s="20" t="str">
        <x:v>S1</x:v>
      </x:c>
      <x:c r="E10" s="20" t="str">
        <x:v>九开八闭与陆路入口</x:v>
      </x:c>
      <x:c r="F10" s="20" t="str">
        <x:v>2026-04</x:v>
      </x:c>
      <x:c r="G10" s="20" t="str">
        <x:v>十七城门；通远门为唯一不面水的开门</x:v>
      </x:c>
      <x:c r="H10" s="20" t="str">
        <x:v>https://www.cqyz.gov.cn/zjyz/lyyz/rmdkd/202202/t20220215_10397616.html</x:v>
      </x:c>
      <x:c r="I10" s="20" t="str">
        <x:v>低</x:v>
      </x:c>
    </x:row>
    <x:row r="11" ht="48" customHeight="1">
      <x:c r="A11" s="20" t="str">
        <x:v>SRC006</x:v>
      </x:c>
      <x:c r="B11" s="20" t="str">
        <x:v>中山四路</x:v>
      </x:c>
      <x:c r="C11" s="20" t="str">
        <x:v>渝中区政府</x:v>
      </x:c>
      <x:c r="D11" s="20" t="str">
        <x:v>S1</x:v>
      </x:c>
      <x:c r="E11" s="20" t="str">
        <x:v>抗战陪都与街区史</x:v>
      </x:c>
      <x:c r="F11" s="20" t="str">
        <x:v>2026-04</x:v>
      </x:c>
      <x:c r="G11" s="20" t="str">
        <x:v>桂园、周公馆、特园等历史遗迹集中</x:v>
      </x:c>
      <x:c r="H11" s="20" t="str">
        <x:v>https://www.cqyz.gov.cn/zjyz/lyyz/rmdkd/202210/t20221005_11164444.html</x:v>
      </x:c>
      <x:c r="I11" s="20" t="str">
        <x:v>低</x:v>
      </x:c>
    </x:row>
    <x:row r="12" ht="48" customHeight="1">
      <x:c r="A12" s="20" t="str">
        <x:v>SRC007</x:v>
      </x:c>
      <x:c r="B12" s="20" t="str">
        <x:v>桂园（张治中公馆旧址）</x:v>
      </x:c>
      <x:c r="C12" s="20" t="str">
        <x:v>渝中区政府</x:v>
      </x:c>
      <x:c r="D12" s="20" t="str">
        <x:v>S1</x:v>
      </x:c>
      <x:c r="E12" s="20" t="str">
        <x:v>重庆谈判</x:v>
      </x:c>
      <x:c r="F12" s="20" t="str">
        <x:v>2026-06</x:v>
      </x:c>
      <x:c r="G12" s="20" t="str">
        <x:v>《双十协定》签字地等历史事实</x:v>
      </x:c>
      <x:c r="H12" s="20" t="str">
        <x:v>https://www.cqyz.gov.cn/zjyz/lyyz/lswh/lsww/202306/t20230625_12089545.html</x:v>
      </x:c>
      <x:c r="I12" s="20" t="str">
        <x:v>低</x:v>
      </x:c>
    </x:row>
    <x:row r="13" ht="48" customHeight="1">
      <x:c r="A13" s="20" t="str">
        <x:v>SRC008</x:v>
      </x:c>
      <x:c r="B13" s="20" t="str">
        <x:v>中共中央南方局旧址（周公馆）</x:v>
      </x:c>
      <x:c r="C13" s="20" t="str">
        <x:v>渝中区政府</x:v>
      </x:c>
      <x:c r="D13" s="20" t="str">
        <x:v>S1</x:v>
      </x:c>
      <x:c r="E13" s="20" t="str">
        <x:v>抗战统一战线</x:v>
      </x:c>
      <x:c r="F13" s="20" t="str">
        <x:v>2026-06</x:v>
      </x:c>
      <x:c r="G13" s="20" t="str">
        <x:v>周公馆的办公、外交与宣传功能</x:v>
      </x:c>
      <x:c r="H13" s="20" t="str">
        <x:v>https://www.cqyz.gov.cn/zjyz/lyyz/lswh/lsww/202210/t20221008_11166811.html</x:v>
      </x:c>
      <x:c r="I13" s="20" t="str">
        <x:v>低</x:v>
      </x:c>
    </x:row>
    <x:row r="14" ht="48" customHeight="1">
      <x:c r="A14" s="20" t="str">
        <x:v>SRC009</x:v>
      </x:c>
      <x:c r="B14" s="20" t="str">
        <x:v>重庆史迪威博物馆名录信息</x:v>
      </x:c>
      <x:c r="C14" s="20" t="str">
        <x:v>重庆市文物局</x:v>
      </x:c>
      <x:c r="D14" s="20" t="str">
        <x:v>S1</x:v>
      </x:c>
      <x:c r="E14" s="20" t="str">
        <x:v>开放、地址、电话</x:v>
      </x:c>
      <x:c r="F14" s="20" t="str">
        <x:v>2025-12</x:v>
      </x:c>
      <x:c r="G14" s="20" t="str">
        <x:v>渝中区嘉陵新路63号；9:00—17:00</x:v>
      </x:c>
      <x:c r="H14" s="20" t="str">
        <x:v>https://whlyw.cq.gov.cn/hdjl_221/xzzq/202601/t20260115_15320860.html</x:v>
      </x:c>
      <x:c r="I14" s="20" t="str">
        <x:v>低</x:v>
      </x:c>
    </x:row>
    <x:row r="15" ht="48" customHeight="1">
      <x:c r="A15" s="20" t="str">
        <x:v>SRC010</x:v>
      </x:c>
      <x:c r="B15" s="20" t="str">
        <x:v>三峡博物馆入馆规则</x:v>
      </x:c>
      <x:c r="C15" s="20" t="str">
        <x:v>重庆中国三峡博物馆</x:v>
      </x:c>
      <x:c r="D15" s="20" t="str">
        <x:v>S1</x:v>
      </x:c>
      <x:c r="E15" s="20" t="str">
        <x:v>证件与预约</x:v>
      </x:c>
      <x:c r="F15" s="20" t="str">
        <x:v>持续更新</x:v>
      </x:c>
      <x:c r="G15" s="20" t="str">
        <x:v>主馆自2025-10起凭有效证件免预约入馆</x:v>
      </x:c>
      <x:c r="H15" s="20" t="str">
        <x:v>https://www.3gmuseum.cn/web/article/1430010139317059584/web/content_1430010139317059584.html</x:v>
      </x:c>
      <x:c r="I15" s="20" t="str">
        <x:v>低</x:v>
      </x:c>
    </x:row>
    <x:row r="16" ht="48" customHeight="1">
      <x:c r="A16" s="20" t="str">
        <x:v>SRC011</x:v>
      </x:c>
      <x:c r="B16" s="20" t="str">
        <x:v>慈云寺—米市街—龙门浩历史文化街区</x:v>
      </x:c>
      <x:c r="C16" s="20" t="str">
        <x:v>重庆市政府</x:v>
      </x:c>
      <x:c r="D16" s="20" t="str">
        <x:v>S1</x:v>
      </x:c>
      <x:c r="E16" s="20" t="str">
        <x:v>开埠、工商业与街区保护</x:v>
      </x:c>
      <x:c r="F16" s="20" t="str">
        <x:v>2025-11</x:v>
      </x:c>
      <x:c r="G16" s="20" t="str">
        <x:v>近现代工商业、抗战与宗教遗存</x:v>
      </x:c>
      <x:c r="H16" s="20" t="str">
        <x:v>https://www.cq.gov.cn/ywdt/zwhd/bmdt/202511/t20251113_15160016.html</x:v>
      </x:c>
      <x:c r="I16" s="20" t="str">
        <x:v>低</x:v>
      </x:c>
    </x:row>
    <x:row r="17" ht="48" customHeight="1">
      <x:c r="A17" s="20" t="str">
        <x:v>SRC012</x:v>
      </x:c>
      <x:c r="B17" s="20" t="str">
        <x:v>重庆城市更新催生文旅场景</x:v>
      </x:c>
      <x:c r="C17" s="20" t="str">
        <x:v>重庆市政府</x:v>
      </x:c>
      <x:c r="D17" s="20" t="str">
        <x:v>S1</x:v>
      </x:c>
      <x:c r="E17" s="20" t="str">
        <x:v>开埠遗址公园、下浩里</x:v>
      </x:c>
      <x:c r="F17" s="20" t="str">
        <x:v>2026-05</x:v>
      </x:c>
      <x:c r="G17" s="20" t="str">
        <x:v>开埠遗址公园和南滨路沿线更新现状</x:v>
      </x:c>
      <x:c r="H17" s="20" t="str">
        <x:v>https://www.cq.gov.cn/ywdt/jrcq/202605/t20260506_15650945.html</x:v>
      </x:c>
      <x:c r="I17" s="20" t="str">
        <x:v>低</x:v>
      </x:c>
    </x:row>
    <x:row r="18" ht="48" customHeight="1">
      <x:c r="A18" s="20" t="str">
        <x:v>SRC013</x:v>
      </x:c>
      <x:c r="B18" s="20" t="str">
        <x:v>李子坝站更新改造</x:v>
      </x:c>
      <x:c r="C18" s="20" t="str">
        <x:v>重庆市政府/轨道运营</x:v>
      </x:c>
      <x:c r="D18" s="20" t="str">
        <x:v>S1</x:v>
      </x:c>
      <x:c r="E18" s="20" t="str">
        <x:v>施工与动线风险</x:v>
      </x:c>
      <x:c r="F18" s="20" t="str">
        <x:v>2026-06</x:v>
      </x:c>
      <x:c r="G18" s="20" t="str">
        <x:v>分区封闭施工；预计2026-12-30完工</x:v>
      </x:c>
      <x:c r="H18" s="20" t="str">
        <x:v>https://www.cq.gov.cn/ywdt/jrcq/202606/t20260613_15751500.html</x:v>
      </x:c>
      <x:c r="I18" s="20" t="str">
        <x:v>低</x:v>
      </x:c>
    </x:row>
    <x:row r="19" ht="48" customHeight="1">
      <x:c r="A19" s="20" t="str">
        <x:v>SRC014</x:v>
      </x:c>
      <x:c r="B19" s="20" t="str">
        <x:v>轨道2号线电梯焕新</x:v>
      </x:c>
      <x:c r="C19" s="20" t="str">
        <x:v>重庆市政府</x:v>
      </x:c>
      <x:c r="D19" s="20" t="str">
        <x:v>S1</x:v>
      </x:c>
      <x:c r="E19" s="20" t="str">
        <x:v>垂直交通与运能</x:v>
      </x:c>
      <x:c r="F19" s="20" t="str">
        <x:v>2026-05</x:v>
      </x:c>
      <x:c r="G19" s="20" t="str">
        <x:v>李子坝站垂直动线、客流与扶梯改造</x:v>
      </x:c>
      <x:c r="H19" s="20" t="str">
        <x:v>https://www.cq.gov.cn/ywdt/jrcq/202605/t20260528_15709853.html</x:v>
      </x:c>
      <x:c r="I19" s="20" t="str">
        <x:v>低</x:v>
      </x:c>
    </x:row>
    <x:row r="20" ht="48" customHeight="1">
      <x:c r="A20" s="20" t="str">
        <x:v>SRC015</x:v>
      </x:c>
      <x:c r="B20" s="20" t="str">
        <x:v>Urban Verticality Shaped by a Vertical Terrain</x:v>
      </x:c>
      <x:c r="C20" s="20" t="str">
        <x:v>Urban Planning / DOAJ</x:v>
      </x:c>
      <x:c r="D20" s="20" t="str">
        <x:v>S2</x:v>
      </x:c>
      <x:c r="E20" s="20" t="str">
        <x:v>立体城市解释框架</x:v>
      </x:c>
      <x:c r="F20" s="20" t="str">
        <x:v>2022</x:v>
      </x:c>
      <x:c r="G20" s="20" t="str">
        <x:v>地形塑造规划、治理和日常经验，不只等于高楼</x:v>
      </x:c>
      <x:c r="H20" s="20" t="str">
        <x:v>https://doi.org/10.17645/up.v7i4.5810</x:v>
      </x:c>
      <x:c r="I20" s="20" t="str">
        <x:v>低</x:v>
      </x:c>
    </x:row>
    <x:row r="21" ht="48" customHeight="1">
      <x:c r="A21" s="20" t="str">
        <x:v>SRC016</x:v>
      </x:c>
      <x:c r="B21" s="20" t="str">
        <x:v>Towards Weird Verticality</x:v>
      </x:c>
      <x:c r="C21" s="20" t="str">
        <x:v>Urban Studies / University of Leeds</x:v>
      </x:c>
      <x:c r="D21" s="20" t="str">
        <x:v>S2</x:v>
      </x:c>
      <x:c r="E21" s="20" t="str">
        <x:v>反赛博朋克叙事</x:v>
      </x:c>
      <x:c r="F21" s="20" t="str">
        <x:v>2024</x:v>
      </x:c>
      <x:c r="G21" s="20" t="str">
        <x:v>外来奇观视角可能遮蔽日常、更新与公共/私人边界</x:v>
      </x:c>
      <x:c r="H21" s="20" t="str">
        <x:v>https://eprints.whiterose.ac.uk/id/eprint/185301/</x:v>
      </x:c>
      <x:c r="I21" s="20" t="str">
        <x:v>低</x:v>
      </x:c>
    </x:row>
    <x:row r="22" ht="48" customHeight="1">
      <x:c r="A22" s="20" t="str">
        <x:v>SRC017</x:v>
      </x:c>
      <x:c r="B22" s="20" t="str">
        <x:v>重庆山城步道适老性研究</x:v>
      </x:c>
      <x:c r="C22" s="20" t="str">
        <x:v>上海城市规划</x:v>
      </x:c>
      <x:c r="D22" s="20" t="str">
        <x:v>S2</x:v>
      </x:c>
      <x:c r="E22" s="20" t="str">
        <x:v>坡度、路径与适老设计</x:v>
      </x:c>
      <x:c r="F22" s="20" t="str">
        <x:v>2020</x:v>
      </x:c>
      <x:c r="G22" s="20" t="str">
        <x:v>步道是交通、商业、休闲与社会交往的复合容器</x:v>
      </x:c>
      <x:c r="H22" s="20" t="str">
        <x:v>https://www.shplanning.com.cn/archive/download/id/487.html</x:v>
      </x:c>
      <x:c r="I22" s="20" t="str">
        <x:v>低</x:v>
      </x:c>
    </x:row>
    <x:row r="23" ht="48" customHeight="1">
      <x:c r="A23" s="20" t="str">
        <x:v>SRC018</x:v>
      </x:c>
      <x:c r="B23" s="20" t="str">
        <x:v>重庆市历史文化名城保护规划</x:v>
      </x:c>
      <x:c r="C23" s="20" t="str">
        <x:v>重庆市规划自然资源局</x:v>
      </x:c>
      <x:c r="D23" s="20" t="str">
        <x:v>S1</x:v>
      </x:c>
      <x:c r="E23" s="20" t="str">
        <x:v>历史城区与保护框架</x:v>
      </x:c>
      <x:c r="F23" s="20" t="str">
        <x:v>2025-07</x:v>
      </x:c>
      <x:c r="G23" s="20" t="str">
        <x:v>两江交汇历史城区、九开八闭格局与山城步道</x:v>
      </x:c>
      <x:c r="H23" s="20" t="str">
        <x:v>https://ghzrzyj.cq.gov.cn/ztlm_186/ghgb/zxgh/202507/P020250716371670706300.pdf</x:v>
      </x:c>
      <x:c r="I23" s="20" t="str">
        <x:v>低</x:v>
      </x:c>
    </x:row>
    <x:row r="24" ht="48" customHeight="1">
      <x:c r="A24" s="20" t="str">
        <x:v>SRC019</x:v>
      </x:c>
      <x:c r="B24" s="20" t="str">
        <x:v>2026无人机灯光秀安排</x:v>
      </x:c>
      <x:c r="C24" s="20" t="str">
        <x:v>重庆市政府</x:v>
      </x:c>
      <x:c r="D24" s="20" t="str">
        <x:v>S1</x:v>
      </x:c>
      <x:c r="E24" s="20" t="str">
        <x:v>时间、观赏区与管制</x:v>
      </x:c>
      <x:c r="F24" s="20" t="str">
        <x:v>2026-05</x:v>
      </x:c>
      <x:c r="G24" s="20" t="str">
        <x:v>朝天门、江北嘴、南滨路可观看；按月复核</x:v>
      </x:c>
      <x:c r="H24" s="20" t="str">
        <x:v>https://www.cq.gov.cn/ywdt/jrcq/202605/t20260531_15716501_app.html</x:v>
      </x:c>
      <x:c r="I24" s="20" t="str">
        <x:v>低</x:v>
      </x:c>
    </x:row>
    <x:row r="25" ht="48" customHeight="1">
      <x:c r="A25" s="20" t="str">
        <x:v>SRC020</x:v>
      </x:c>
      <x:c r="B25" s="20" t="str">
        <x:v>重庆火锅</x:v>
      </x:c>
      <x:c r="C25" s="20" t="str">
        <x:v>重庆市文化旅游委</x:v>
      </x:c>
      <x:c r="D25" s="20" t="str">
        <x:v>S1</x:v>
      </x:c>
      <x:c r="E25" s="20" t="str">
        <x:v>食物文化基础</x:v>
      </x:c>
      <x:c r="F25" s="20" t="str">
        <x:v>2024-11</x:v>
      </x:c>
      <x:c r="G25" s="20" t="str">
        <x:v>火锅的味型、共享性与城市文化符号</x:v>
      </x:c>
      <x:c r="H25" s="20" t="str">
        <x:v>https://whlyw.cq.gov.cn/zjwl/szq/zqms/202411/t20241111_13787035.html</x:v>
      </x:c>
      <x:c r="I25" s="20" t="str">
        <x:v>低</x:v>
      </x:c>
    </x:row>
    <x:row r="26" ht="48" customHeight="1">
      <x:c r="A26" s="20" t="str">
        <x:v>SRC021</x:v>
      </x:c>
      <x:c r="B26" s="20" t="str">
        <x:v>重庆第七批市级非遗名录</x:v>
      </x:c>
      <x:c r="C26" s="20" t="str">
        <x:v>重庆市政府/文旅委</x:v>
      </x:c>
      <x:c r="D26" s="20" t="str">
        <x:v>S1</x:v>
      </x:c>
      <x:c r="E26" s="20" t="str">
        <x:v>火锅及相关习俗</x:v>
      </x:c>
      <x:c r="F26" s="20" t="str">
        <x:v>2026-07</x:v>
      </x:c>
      <x:c r="G26" s="20" t="str">
        <x:v>重庆火锅传统制作技艺及相关习俗入选市级非遗</x:v>
      </x:c>
      <x:c r="H26" s="20" t="str">
        <x:v>https://whlyw.cq.gov.cn/zwgk_221/zfgkzcwj/qtwj/202607/t20260709_15810099.html</x:v>
      </x:c>
      <x:c r="I26" s="20" t="str">
        <x:v>低</x:v>
      </x:c>
    </x:row>
    <x:row r="27" ht="48" customHeight="1">
      <x:c r="A27" s="20" t="str">
        <x:v>SRC022</x:v>
      </x:c>
      <x:c r="B27" s="20" t="str">
        <x:v>黄桷坪地名与交通茶馆</x:v>
      </x:c>
      <x:c r="C27" s="20" t="str">
        <x:v>重庆市民政局</x:v>
      </x:c>
      <x:c r="D27" s="20" t="str">
        <x:v>S1</x:v>
      </x:c>
      <x:c r="E27" s="20" t="str">
        <x:v>艺术社区与茶馆</x:v>
      </x:c>
      <x:c r="F27" s="20" t="str">
        <x:v>2025-01</x:v>
      </x:c>
      <x:c r="G27" s="20" t="str">
        <x:v>黄桷坪、川美、涂鸦和交通茶馆的地方脉络</x:v>
      </x:c>
      <x:c r="H27" s="20" t="str">
        <x:v>https://mzj.cq.gov.cn/sy_218/bmdt/mzyw/t_14233171.html</x:v>
      </x:c>
      <x:c r="I27" s="20" t="str">
        <x:v>低</x:v>
      </x:c>
    </x:row>
    <x:row r="28" ht="48" customHeight="1">
      <x:c r="A28" s="20" t="str">
        <x:v>SRC023</x:v>
      </x:c>
      <x:c r="B28" s="20" t="str">
        <x:v>中心城区旅游休闲街区地图</x:v>
      </x:c>
      <x:c r="C28" s="20" t="str">
        <x:v>重庆市规划自然资源局</x:v>
      </x:c>
      <x:c r="D28" s="20" t="str">
        <x:v>S1</x:v>
      </x:c>
      <x:c r="E28" s="20" t="str">
        <x:v>街区边界与更新类型</x:v>
      </x:c>
      <x:c r="F28" s="20" t="str">
        <x:v>2025-11</x:v>
      </x:c>
      <x:c r="G28" s="20" t="str">
        <x:v>山城巷、十八梯、龙门浩、黄桷坪等空间关系</x:v>
      </x:c>
      <x:c r="H28" s="20" t="str">
        <x:v>https://ghzrzyj.cq.gov.cn/bsfw_186/dtfw/mzyt/202511/t20251124_15184222_wap.html</x:v>
      </x:c>
      <x:c r="I28" s="20" t="str">
        <x:v>低</x:v>
      </x:c>
    </x:row>
    <x:row r="29" ht="48" customHeight="1">
      <x:c r="A29" s="20" t="str">
        <x:v>SRC024</x:v>
      </x:c>
      <x:c r="B29" s="20" t="str">
        <x:v>皇冠大扶梯与索道节假日运营提示</x:v>
      </x:c>
      <x:c r="C29" s="20" t="str">
        <x:v>重庆市政府</x:v>
      </x:c>
      <x:c r="D29" s="20" t="str">
        <x:v>S1</x:v>
      </x:c>
      <x:c r="E29" s="20" t="str">
        <x:v>运营时段与安全</x:v>
      </x:c>
      <x:c r="F29" s="20" t="str">
        <x:v>2025-05</x:v>
      </x:c>
      <x:c r="G29" s="20" t="str">
        <x:v>皇冠大扶梯常态参考时段；索道须以当日公告为准</x:v>
      </x:c>
      <x:c r="H29" s="20" t="str">
        <x:v>https://cq.gov.cn/ywdt/bmts/202505/t20250529_14669045.html</x:v>
      </x:c>
      <x:c r="I29" s="20" t="str">
        <x:v>低</x:v>
      </x:c>
    </x:row>
    <x:row r="30" ht="48" customHeight="1">
      <x:c r="A30" s="20" t="str">
        <x:v>SRC025</x:v>
      </x:c>
      <x:c r="B30" s="20" t="str">
        <x:v>长江索道官方页</x:v>
      </x:c>
      <x:c r="C30" s="20" t="str">
        <x:v>重庆索道运营方</x:v>
      </x:c>
      <x:c r="D30" s="20" t="str">
        <x:v>S1</x:v>
      </x:c>
      <x:c r="E30" s="20" t="str">
        <x:v>票务与运营</x:v>
      </x:c>
      <x:c r="F30" s="20" t="str">
        <x:v>持续更新</x:v>
      </x:c>
      <x:c r="G30" s="20" t="str">
        <x:v>当日运营、停运、排队与票务入口</x:v>
      </x:c>
      <x:c r="H30" s="20" t="str">
        <x:v>https://www.cqsuodao.com/zhangjiangsuodao.html</x:v>
      </x:c>
      <x:c r="I30" s="20" t="str">
        <x:v>低</x:v>
      </x:c>
    </x:row>
    <x:row r="31" ht="48" customHeight="1">
      <x:c r="A31" s="20" t="str">
        <x:v>SRC026</x:v>
      </x:c>
      <x:c r="B31" s="20" t="str">
        <x:v>2026年两江游数据</x:v>
      </x:c>
      <x:c r="C31" s="20" t="str">
        <x:v>重庆市政府</x:v>
      </x:c>
      <x:c r="D31" s="20" t="str">
        <x:v>S1</x:v>
      </x:c>
      <x:c r="E31" s="20" t="str">
        <x:v>市场与运营背景</x:v>
      </x:c>
      <x:c r="F31" s="20" t="str">
        <x:v>2026-03</x:v>
      </x:c>
      <x:c r="G31" s="20" t="str">
        <x:v>2026年1—2月两江游接待74.1万人次</x:v>
      </x:c>
      <x:c r="H31" s="20" t="str">
        <x:v>https://cq.gov.cn/zwgk/zfxxgkml/zdlyxxgk/ggwh/ly/zxdt/202603/t20260304_15487802.html</x:v>
      </x:c>
      <x:c r="I31" s="20" t="str">
        <x:v>低</x:v>
      </x:c>
    </x:row>
    <x:row r="32" ht="48" customHeight="1">
      <x:c r="A32" s="20" t="str">
        <x:v>SRC027</x:v>
      </x:c>
      <x:c r="B32" s="20" t="str">
        <x:v>Reddit：重庆4晚只游主城</x:v>
      </x:c>
      <x:c r="C32" s="20" t="str">
        <x:v>海外游客游记</x:v>
      </x:c>
      <x:c r="D32" s="20" t="str">
        <x:v>S3</x:v>
      </x:c>
      <x:c r="E32" s="20" t="str">
        <x:v>停留行为与取舍</x:v>
      </x:c>
      <x:c r="F32" s="20" t="str">
        <x:v>2025-10</x:v>
      </x:c>
      <x:c r="G32" s="20" t="str">
        <x:v>4晚仍只游主城，说明主城内容容量足</x:v>
      </x:c>
      <x:c r="H32" s="20" t="str">
        <x:v>https://www.reddit.com/r/travelchina/comments/1o74mfa/trip_report_for_chongqing_4_night_stay/</x:v>
      </x:c>
      <x:c r="I32" s="20" t="str">
        <x:v>中</x:v>
      </x:c>
    </x:row>
    <x:row r="33" ht="48" customHeight="1">
      <x:c r="A33" s="20" t="str">
        <x:v>SRC028</x:v>
      </x:c>
      <x:c r="B33" s="20" t="str">
        <x:v>Reddit：重庆行程是否过满</x:v>
      </x:c>
      <x:c r="C33" s="20" t="str">
        <x:v>海外游客讨论</x:v>
      </x:c>
      <x:c r="D33" s="20" t="str">
        <x:v>S3</x:v>
      </x:c>
      <x:c r="E33" s="20" t="str">
        <x:v>坡度、转场与重复点</x:v>
      </x:c>
      <x:c r="F33" s="20" t="str">
        <x:v>2026-07</x:v>
      </x:c>
      <x:c r="G33" s="20" t="str">
        <x:v>通用AI容易低估高差、排队和跨区成本</x:v>
      </x:c>
      <x:c r="H33" s="20" t="str">
        <x:v>https://www.reddit.com/r/travelchina/comments/1v4olqp/thoughts_on_my_chongqing_itinerary/</x:v>
      </x:c>
      <x:c r="I33" s="20" t="str">
        <x:v>中</x:v>
      </x:c>
    </x:row>
    <x:row r="34" ht="48" customHeight="1">
      <x:c r="A34" s="20" t="str">
        <x:v>SRC029</x:v>
      </x:c>
      <x:c r="B34" s="20" t="str">
        <x:v>Reddit：重庆2.5天行程</x:v>
      </x:c>
      <x:c r="C34" s="20" t="str">
        <x:v>海外游客讨论</x:v>
      </x:c>
      <x:c r="D34" s="20" t="str">
        <x:v>S3</x:v>
      </x:c>
      <x:c r="E34" s="20" t="str">
        <x:v>首次游客真实选点</x:v>
      </x:c>
      <x:c r="F34" s="20" t="str">
        <x:v>2026-02</x:v>
      </x:c>
      <x:c r="G34" s="20" t="str">
        <x:v>主城地标、步行、老街与夜景的组合</x:v>
      </x:c>
      <x:c r="H34" s="20" t="str">
        <x:v>https://www.reddit.com/r/travelchina/comments/1qvjkgb/chongqing_25_days_itinerary/</x:v>
      </x:c>
      <x:c r="I34" s="20" t="str">
        <x:v>中</x:v>
      </x:c>
    </x:row>
    <x:row r="35" ht="48" customHeight="1">
      <x:c r="A35" s="20" t="str">
        <x:v>SRC030</x:v>
      </x:c>
      <x:c r="B35" s="20" t="str">
        <x:v>Reddit：AI生成重庆地图出错</x:v>
      </x:c>
      <x:c r="C35" s="20" t="str">
        <x:v>海外游客讨论</x:v>
      </x:c>
      <x:c r="D35" s="20" t="str">
        <x:v>S3</x:v>
      </x:c>
      <x:c r="E35" s="20" t="str">
        <x:v>导航与地图风险</x:v>
      </x:c>
      <x:c r="F35" s="20" t="str">
        <x:v>2026-05</x:v>
      </x:c>
      <x:c r="G35" s="20" t="str">
        <x:v>河流、地点和高差错误；Google地图在中国可能不准</x:v>
      </x:c>
      <x:c r="H35" s="20" t="str">
        <x:v>https://www.reddit.com/r/travelchina/comments/1t4cdvm/help_planning_chongqing/</x:v>
      </x:c>
      <x:c r="I35" s="20" t="str">
        <x:v>中</x:v>
      </x:c>
    </x:row>
    <x:row r="36" ht="48" customHeight="1">
      <x:c r="A36" s="20" t="str">
        <x:v>SRC031</x:v>
      </x:c>
      <x:c r="B36" s="20" t="str">
        <x:v>渝中入境游提质升级</x:v>
      </x:c>
      <x:c r="C36" s="20" t="str">
        <x:v>渝中区文化旅游委</x:v>
      </x:c>
      <x:c r="D36" s="20" t="str">
        <x:v>S1</x:v>
      </x:c>
      <x:c r="E36" s="20" t="str">
        <x:v>多语种服务现状</x:v>
      </x:c>
      <x:c r="F36" s="20" t="str">
        <x:v>2026-06</x:v>
      </x:c>
      <x:c r="G36" s="20" t="str">
        <x:v>多语种服务站、志愿者和护照预约覆盖</x:v>
      </x:c>
      <x:c r="H36" s="20" t="str">
        <x:v>https://www.cqyz.gov.cn/bm_229/qwhlyw/zwxx_97154/dt/202606/t20260605_15733979.html</x:v>
      </x:c>
      <x:c r="I36" s="20" t="str">
        <x:v>低</x:v>
      </x:c>
    </x:row>
    <x:row r="37" ht="48" customHeight="1">
      <x:c r="A37" s="20" t="str">
        <x:v>SRC032</x:v>
      </x:c>
      <x:c r="B37" s="20" t="str">
        <x:v>重庆大轰炸遗址陈列馆名录</x:v>
      </x:c>
      <x:c r="C37" s="20" t="str">
        <x:v>重庆市文物局</x:v>
      </x:c>
      <x:c r="D37" s="20" t="str">
        <x:v>S1</x:v>
      </x:c>
      <x:c r="E37" s="20" t="str">
        <x:v>开放与地址</x:v>
      </x:c>
      <x:c r="F37" s="20" t="str">
        <x:v>2025-12</x:v>
      </x:c>
      <x:c r="G37" s="20" t="str">
        <x:v>较场口磁器街；10:00—17:30</x:v>
      </x:c>
      <x:c r="H37" s="20" t="str">
        <x:v>https://whlyw.cq.gov.cn/zwxx_221/bmdt/tzgg/202601/t20260115_15320690.html</x:v>
      </x:c>
      <x:c r="I37" s="20" t="str">
        <x:v>低</x:v>
      </x:c>
    </x:row>
    <x:row r="38" ht="48" customHeight="1">
      <x:c r="A38" s="20" t="str">
        <x:v>SRC033</x:v>
      </x:c>
      <x:c r="B38" s="20" t="str">
        <x:v>重庆母城历史文脉</x:v>
      </x:c>
      <x:c r="C38" s="20" t="str">
        <x:v>重庆市政府</x:v>
      </x:c>
      <x:c r="D38" s="20" t="str">
        <x:v>S1</x:v>
      </x:c>
      <x:c r="E38" s="20" t="str">
        <x:v>母城时间轴</x:v>
      </x:c>
      <x:c r="F38" s="20" t="str">
        <x:v>2020-09</x:v>
      </x:c>
      <x:c r="G38" s="20" t="str">
        <x:v>江州城、重庆府、抗战大后方与渝中母城</x:v>
      </x:c>
      <x:c r="H38" s="20" t="str">
        <x:v>https://www.cq.gov.cn/ywdt/zwhd/qxdt/202009/t20200907_8628081.html</x:v>
      </x:c>
      <x:c r="I38" s="20" t="str">
        <x:v>低</x:v>
      </x:c>
    </x:row>
    <x:row r="39" ht="48" customHeight="1">
      <x:c r="A39" s="21" t="str">
        <x:v>SRC034</x:v>
      </x:c>
      <x:c r="B39" s="21" t="str">
        <x:v>2025年度博物馆优秀展览</x:v>
      </x:c>
      <x:c r="C39" s="21" t="str">
        <x:v>重庆市政府</x:v>
      </x:c>
      <x:c r="D39" s="21" t="str">
        <x:v>S1</x:v>
      </x:c>
      <x:c r="E39" s="21" t="str">
        <x:v>史迪威/飞虎队展览质量</x:v>
      </x:c>
      <x:c r="F39" s="21" t="str">
        <x:v>2026-05</x:v>
      </x:c>
      <x:c r="G39" s="21" t="str">
        <x:v>史迪威博物馆飞虎队展进入优秀展览名单</x:v>
      </x:c>
      <x:c r="H39" s="21" t="str">
        <x:v>https://www.cq.gov.cn/zwgk/zfxxgkml/zdlyxxgk/ggwh/wh/zxdt/202605/t20260518_15684252.html</x:v>
      </x:c>
      <x:c r="I39" s="21" t="str">
        <x:v>低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87f0fba4f8143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0" hidden="0" customWidth="1"/>
    <x:col min="4" max="4" width="30" hidden="0" customWidth="1"/>
    <x:col min="5" max="5" width="24" hidden="0" customWidth="1"/>
    <x:col min="6" max="6" width="18" hidden="0" customWidth="1"/>
  </x:cols>
  <x:sheetData>
    <x:row r="1" ht="32" customHeight="1">
      <x:c r="A1" s="3" t="str">
        <x:v>主城数据库｜筛选与评分标准</x:v>
      </x:c>
      <x:c r="B1" s="3"/>
      <x:c r="C1" s="3"/>
      <x:c r="D1" s="3"/>
      <x:c r="E1" s="3"/>
      <x:c r="F1" s="3"/>
    </x:row>
    <x:row r="2" ht="28" customHeight="1">
      <x:c r="A2" s="7" t="str">
        <x:v>评分只帮助暴露假设，不替代产品判断。权重为可编辑输入，点位库公式会自动更新。</x:v>
      </x:c>
      <x:c r="B2" s="7"/>
      <x:c r="C2" s="7"/>
      <x:c r="D2" s="7"/>
      <x:c r="E2" s="7"/>
      <x:c r="F2" s="7"/>
    </x:row>
    <x:row r="5" ht="34" customHeight="1">
      <x:c r="A5" s="11" t="str">
        <x:v>项目</x:v>
      </x:c>
      <x:c r="B5" s="11" t="str">
        <x:v>权重/阈值</x:v>
      </x:c>
      <x:c r="C5" s="11" t="str">
        <x:v>高分或定义</x:v>
      </x:c>
      <x:c r="D5" s="11" t="str">
        <x:v>低分/限制</x:v>
      </x:c>
      <x:c r="E5" s="11" t="str">
        <x:v>用途</x:v>
      </x:c>
      <x:c r="F5" s="11" t="str">
        <x:v>备注</x:v>
      </x:c>
    </x:row>
    <x:row r="6" ht="34" customHeight="1">
      <x:c r="A6" s="19" t="str">
        <x:v>产品评分权重</x:v>
      </x:c>
      <x:c r="B6" s="19"/>
      <x:c r="C6" s="19"/>
      <x:c r="D6" s="19"/>
      <x:c r="E6" s="19"/>
      <x:c r="F6" s="19"/>
    </x:row>
    <x:row r="7" ht="34" customHeight="1">
      <x:c r="A7" s="20" t="str">
        <x:v>独特性</x:v>
      </x:c>
      <x:c r="B7" s="22" t="n">
        <x:v>0.25</x:v>
      </x:c>
      <x:c r="C7" s="20" t="str">
        <x:v>离开重庆很难替代</x:v>
      </x:c>
      <x:c r="D7" s="20" t="str">
        <x:v>其他城市可替代</x:v>
      </x:c>
      <x:c r="E7" s="20" t="str">
        <x:v>用于点位库公式</x:v>
      </x:c>
      <x:c r="F7" s="20" t="str"/>
    </x:row>
    <x:row r="8" ht="34" customHeight="1">
      <x:c r="A8" s="20" t="str">
        <x:v>叙事密度</x:v>
      </x:c>
      <x:c r="B8" s="22" t="n">
        <x:v>0.25</x:v>
      </x:c>
      <x:c r="C8" s="20" t="str">
        <x:v>能解释城市、历史和生活</x:v>
      </x:c>
      <x:c r="D8" s="20" t="str">
        <x:v>只有拍照动作</x:v>
      </x:c>
      <x:c r="E8" s="20" t="str">
        <x:v>用于点位库公式</x:v>
      </x:c>
      <x:c r="F8" s="20" t="str"/>
    </x:row>
    <x:row r="9" ht="34" customHeight="1">
      <x:c r="A9" s="20" t="str">
        <x:v>路线适配</x:v>
      </x:c>
      <x:c r="B9" s="22" t="n">
        <x:v>0.2</x:v>
      </x:c>
      <x:c r="C9" s="20" t="str">
        <x:v>与前后节点顺路</x:v>
      </x:c>
      <x:c r="D9" s="20" t="str">
        <x:v>跨区且转场代价大</x:v>
      </x:c>
      <x:c r="E9" s="20" t="str">
        <x:v>用于点位库公式</x:v>
      </x:c>
      <x:c r="F9" s="20" t="str"/>
    </x:row>
    <x:row r="10" ht="34" customHeight="1">
      <x:c r="A10" s="20" t="str">
        <x:v>外国人可用</x:v>
      </x:c>
      <x:c r="B10" s="22" t="n">
        <x:v>0.2</x:v>
      </x:c>
      <x:c r="C10" s="20" t="str">
        <x:v>入口、证件、支付清楚</x:v>
      </x:c>
      <x:c r="D10" s="20" t="str">
        <x:v>依赖中文与本地手机号</x:v>
      </x:c>
      <x:c r="E10" s="20" t="str">
        <x:v>用于点位库公式</x:v>
      </x:c>
      <x:c r="F10" s="20" t="str"/>
    </x:row>
    <x:row r="11" ht="34" customHeight="1">
      <x:c r="A11" s="20" t="str">
        <x:v>低摩擦</x:v>
      </x:c>
      <x:c r="B11" s="22" t="n">
        <x:v>0.1</x:v>
      </x:c>
      <x:c r="C11" s="20" t="str">
        <x:v>低排队、低不确定</x:v>
      </x:c>
      <x:c r="D11" s="20" t="str">
        <x:v>拥挤、台阶、运营易变</x:v>
      </x:c>
      <x:c r="E11" s="20" t="str">
        <x:v>用于点位库公式</x:v>
      </x:c>
      <x:c r="F11" s="20" t="str"/>
    </x:row>
    <x:row r="12" ht="34" customHeight="1">
      <x:c r="A12" s="20" t="str"/>
      <x:c r="B12" s="20"/>
      <x:c r="C12" s="20" t="str"/>
      <x:c r="D12" s="20" t="str"/>
      <x:c r="E12" s="20" t="str"/>
      <x:c r="F12" s="20" t="str"/>
    </x:row>
    <x:row r="13" ht="34" customHeight="1">
      <x:c r="A13" s="20" t="str">
        <x:v>证据评分权重</x:v>
      </x:c>
      <x:c r="B13" s="20"/>
      <x:c r="C13" s="20"/>
      <x:c r="D13" s="20"/>
      <x:c r="E13" s="20"/>
      <x:c r="F13" s="20"/>
    </x:row>
    <x:row r="14" ht="34" customHeight="1">
      <x:c r="A14" s="20" t="str">
        <x:v>来源权威</x:v>
      </x:c>
      <x:c r="B14" s="22" t="n">
        <x:v>0.4</x:v>
      </x:c>
      <x:c r="C14" s="20" t="str">
        <x:v>官方/学术原始来源</x:v>
      </x:c>
      <x:c r="D14" s="20" t="str">
        <x:v>营销或转述</x:v>
      </x:c>
      <x:c r="E14" s="20" t="str">
        <x:v>用于点位库公式</x:v>
      </x:c>
      <x:c r="F14" s="20" t="str"/>
    </x:row>
    <x:row r="15" ht="34" customHeight="1">
      <x:c r="A15" s="20" t="str">
        <x:v>交叉验证</x:v>
      </x:c>
      <x:c r="B15" s="22" t="n">
        <x:v>0.25</x:v>
      </x:c>
      <x:c r="C15" s="20" t="str">
        <x:v>两类以上独立来源</x:v>
      </x:c>
      <x:c r="D15" s="20" t="str">
        <x:v>单一来源</x:v>
      </x:c>
      <x:c r="E15" s="20" t="str">
        <x:v>用于点位库公式</x:v>
      </x:c>
      <x:c r="F15" s="20" t="str"/>
    </x:row>
    <x:row r="16" ht="34" customHeight="1">
      <x:c r="A16" s="20" t="str">
        <x:v>信息时效</x:v>
      </x:c>
      <x:c r="B16" s="22" t="n">
        <x:v>0.2</x:v>
      </x:c>
      <x:c r="C16" s="20" t="str">
        <x:v>2026或持续更新</x:v>
      </x:c>
      <x:c r="D16" s="20" t="str">
        <x:v>过期动态信息</x:v>
      </x:c>
      <x:c r="E16" s="20" t="str">
        <x:v>用于点位库公式</x:v>
      </x:c>
      <x:c r="F16" s="20" t="str"/>
    </x:row>
    <x:row r="17" ht="34" customHeight="1">
      <x:c r="A17" s="20" t="str">
        <x:v>现场核验</x:v>
      </x:c>
      <x:c r="B17" s="22" t="n">
        <x:v>0.15</x:v>
      </x:c>
      <x:c r="C17" s="20" t="str">
        <x:v>本人完成实走/电话</x:v>
      </x:c>
      <x:c r="D17" s="20" t="str">
        <x:v>仅网络研究</x:v>
      </x:c>
      <x:c r="E17" s="20" t="str">
        <x:v>当前全部为0</x:v>
      </x:c>
      <x:c r="F17" s="20" t="str"/>
    </x:row>
    <x:row r="18" ht="34" customHeight="1">
      <x:c r="A18" s="20" t="str"/>
      <x:c r="B18" s="20"/>
      <x:c r="C18" s="20" t="str"/>
      <x:c r="D18" s="20" t="str"/>
      <x:c r="E18" s="20" t="str"/>
      <x:c r="F18" s="20" t="str"/>
    </x:row>
    <x:row r="19" ht="34" customHeight="1">
      <x:c r="A19" s="20" t="str">
        <x:v>证据等级</x:v>
      </x:c>
      <x:c r="B19" s="20" t="str">
        <x:v>阈值</x:v>
      </x:c>
      <x:c r="C19" s="20" t="str">
        <x:v>含义</x:v>
      </x:c>
      <x:c r="D19" s="20" t="str">
        <x:v>对外使用规则</x:v>
      </x:c>
      <x:c r="E19" s="20" t="str"/>
      <x:c r="F19" s="20" t="str"/>
    </x:row>
    <x:row r="20" ht="34" customHeight="1">
      <x:c r="A20" s="20" t="str">
        <x:v>A</x:v>
      </x:c>
      <x:c r="B20" s="20" t="n">
        <x:v>85</x:v>
      </x:c>
      <x:c r="C20" s="20" t="str">
        <x:v>网络证据完整或已有现场核验</x:v>
      </x:c>
      <x:c r="D20" s="20" t="str">
        <x:v>仍需发布前复核动态信息</x:v>
      </x:c>
      <x:c r="E20" s="20" t="str"/>
      <x:c r="F20" s="20" t="str"/>
    </x:row>
    <x:row r="21" ht="34" customHeight="1">
      <x:c r="A21" s="20" t="str">
        <x:v>B</x:v>
      </x:c>
      <x:c r="B21" s="20" t="n">
        <x:v>70</x:v>
      </x:c>
      <x:c r="C21" s="20" t="str">
        <x:v>可以进入内测路书</x:v>
      </x:c>
      <x:c r="D21" s="20" t="str">
        <x:v>不可承诺未实测动线</x:v>
      </x:c>
      <x:c r="E21" s="20" t="str"/>
      <x:c r="F21" s="20" t="str"/>
    </x:row>
    <x:row r="22" ht="34" customHeight="1">
      <x:c r="A22" s="20" t="str">
        <x:v>C</x:v>
      </x:c>
      <x:c r="B22" s="20" t="n">
        <x:v>50</x:v>
      </x:c>
      <x:c r="C22" s="20" t="str">
        <x:v>保留候选</x:v>
      </x:c>
      <x:c r="D22" s="20" t="str">
        <x:v>必须电话或现场核验</x:v>
      </x:c>
      <x:c r="E22" s="20" t="str"/>
      <x:c r="F22" s="20" t="str"/>
    </x:row>
    <x:row r="23" ht="34" customHeight="1">
      <x:c r="A23" s="20" t="str">
        <x:v>D</x:v>
      </x:c>
      <x:c r="B23" s="20" t="n">
        <x:v>0</x:v>
      </x:c>
      <x:c r="C23" s="20" t="str">
        <x:v>线索级</x:v>
      </x:c>
      <x:c r="D23" s="20" t="str">
        <x:v>不得对外承诺</x:v>
      </x:c>
      <x:c r="E23" s="20" t="str"/>
      <x:c r="F23" s="20" t="str"/>
    </x:row>
    <x:row r="24" ht="34" customHeight="1">
      <x:c r="A24" s="20" t="str"/>
      <x:c r="B24" s="20"/>
      <x:c r="C24" s="20" t="str"/>
      <x:c r="D24" s="20" t="str"/>
      <x:c r="E24" s="20" t="str"/>
      <x:c r="F24" s="20" t="str"/>
    </x:row>
    <x:row r="25" ht="34" customHeight="1">
      <x:c r="A25" s="20" t="str">
        <x:v>研究纪律</x:v>
      </x:c>
      <x:c r="B25" s="20"/>
      <x:c r="C25" s="20" t="str"/>
      <x:c r="D25" s="20" t="str"/>
      <x:c r="E25" s="20" t="str"/>
      <x:c r="F25" s="20" t="str"/>
    </x:row>
    <x:row r="26" ht="34" customHeight="1">
      <x:c r="A26" s="20" t="str">
        <x:v>事实层</x:v>
      </x:c>
      <x:c r="B26" s="20"/>
      <x:c r="C26" s="20" t="str">
        <x:v>开放、票务、地址、交通只用S1</x:v>
      </x:c>
      <x:c r="D26" s="20" t="str">
        <x:v>海外讨论不能确认运营</x:v>
      </x:c>
      <x:c r="E26" s="20" t="str"/>
      <x:c r="F26" s="20" t="str"/>
    </x:row>
    <x:row r="27" ht="34" customHeight="1">
      <x:c r="A27" s="20" t="str">
        <x:v>需求层</x:v>
      </x:c>
      <x:c r="B27" s="20"/>
      <x:c r="C27" s="20" t="str">
        <x:v>用近期海外游记识别困难</x:v>
      </x:c>
      <x:c r="D27" s="20" t="str">
        <x:v>不把单条评价当普遍事实</x:v>
      </x:c>
      <x:c r="E27" s="20" t="str"/>
      <x:c r="F27" s="20" t="str"/>
    </x:row>
    <x:row r="28" ht="34" customHeight="1">
      <x:c r="A28" s="21" t="str">
        <x:v>产品判断层</x:v>
      </x:c>
      <x:c r="B28" s="21"/>
      <x:c r="C28" s="21" t="str">
        <x:v>明确收录、降级与删除理由</x:v>
      </x:c>
      <x:c r="D28" s="21" t="str">
        <x:v>保留版本和你的判断</x:v>
      </x:c>
      <x:c r="E28" s="21" t="str"/>
      <x:c r="F28" s="21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99350d06dd44e93"/>
  </x:tableParts>
</x:worksheet>
</file>